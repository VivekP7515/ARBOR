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bor\Excel\"/>
    </mc:Choice>
  </mc:AlternateContent>
  <xr:revisionPtr revIDLastSave="0" documentId="13_ncr:1_{9C0511DE-04AD-4B0C-AC10-22E3A5431922}" xr6:coauthVersionLast="47" xr6:coauthVersionMax="47" xr10:uidLastSave="{00000000-0000-0000-0000-000000000000}"/>
  <bookViews>
    <workbookView xWindow="-108" yWindow="-108" windowWidth="23256" windowHeight="12456" xr2:uid="{87CFD858-0C59-4A7A-89DF-5A43856E8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" i="1" l="1"/>
  <c r="O38" i="1"/>
  <c r="O39" i="1"/>
  <c r="O40" i="1"/>
  <c r="O41" i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36" i="1"/>
  <c r="P36" i="1" s="1"/>
  <c r="O35" i="1"/>
  <c r="P35" i="1" s="1"/>
  <c r="P38" i="1"/>
  <c r="P37" i="1"/>
  <c r="P39" i="1"/>
  <c r="P40" i="1"/>
  <c r="P41" i="1"/>
  <c r="E75" i="1"/>
  <c r="E71" i="1"/>
  <c r="E67" i="1"/>
  <c r="E63" i="1"/>
  <c r="E59" i="1"/>
  <c r="E55" i="1"/>
  <c r="E51" i="1"/>
  <c r="E47" i="1"/>
  <c r="E42" i="1"/>
  <c r="E37" i="1"/>
  <c r="P49" i="1" l="1"/>
</calcChain>
</file>

<file path=xl/sharedStrings.xml><?xml version="1.0" encoding="utf-8"?>
<sst xmlns="http://schemas.openxmlformats.org/spreadsheetml/2006/main" count="283" uniqueCount="110">
  <si>
    <t>SaleID</t>
  </si>
  <si>
    <t>Date</t>
  </si>
  <si>
    <t>CustomerName</t>
  </si>
  <si>
    <t>ProductName</t>
  </si>
  <si>
    <t>Category</t>
  </si>
  <si>
    <t>Quantity</t>
  </si>
  <si>
    <t>UnitPrice</t>
  </si>
  <si>
    <t>TotalAmount</t>
  </si>
  <si>
    <t>SalesPerson</t>
  </si>
  <si>
    <t>Region</t>
  </si>
  <si>
    <t>PaymentMethod</t>
  </si>
  <si>
    <t>Status</t>
  </si>
  <si>
    <t>Rahul Deshmukh</t>
  </si>
  <si>
    <t>Laptop</t>
  </si>
  <si>
    <t>Electronics</t>
  </si>
  <si>
    <t>Anita Rao</t>
  </si>
  <si>
    <t>West</t>
  </si>
  <si>
    <t>UPI</t>
  </si>
  <si>
    <t>Paid</t>
  </si>
  <si>
    <t>Neha Patil</t>
  </si>
  <si>
    <t>Smartphone</t>
  </si>
  <si>
    <t>Rohit Sharma</t>
  </si>
  <si>
    <t>North</t>
  </si>
  <si>
    <t>Credit Card</t>
  </si>
  <si>
    <t>Amit Joshi</t>
  </si>
  <si>
    <t>Office Chair</t>
  </si>
  <si>
    <t>Furniture</t>
  </si>
  <si>
    <t>Sneha Kulkarni</t>
  </si>
  <si>
    <t>South</t>
  </si>
  <si>
    <t>Manoj Bhosale</t>
  </si>
  <si>
    <t>Air Fryer</t>
  </si>
  <si>
    <t>Home Appliances</t>
  </si>
  <si>
    <t>Karan Singh</t>
  </si>
  <si>
    <t>East</t>
  </si>
  <si>
    <t>Cash</t>
  </si>
  <si>
    <t>Swati Gaikwad</t>
  </si>
  <si>
    <t>Table Fan</t>
  </si>
  <si>
    <t>Deepa Nair</t>
  </si>
  <si>
    <t>Vikas Jadhav</t>
  </si>
  <si>
    <t>LED TV</t>
  </si>
  <si>
    <t>Pooja Sawant</t>
  </si>
  <si>
    <t>Bluetooth Speaker</t>
  </si>
  <si>
    <t>Harsh Yadav</t>
  </si>
  <si>
    <t>Study Table</t>
  </si>
  <si>
    <t>Debit Card</t>
  </si>
  <si>
    <t>Mahesh More</t>
  </si>
  <si>
    <t>Refrigerator</t>
  </si>
  <si>
    <t>Isha Lokhande</t>
  </si>
  <si>
    <t>Lamp</t>
  </si>
  <si>
    <t>Aditya Pawar</t>
  </si>
  <si>
    <t>Microwave</t>
  </si>
  <si>
    <t>Komal Shinde</t>
  </si>
  <si>
    <t>Printer</t>
  </si>
  <si>
    <t>Nitin Kamble</t>
  </si>
  <si>
    <t>Shoes</t>
  </si>
  <si>
    <t>Fashion</t>
  </si>
  <si>
    <t>Tanvi Joshi</t>
  </si>
  <si>
    <t>T-shirt</t>
  </si>
  <si>
    <t>Omkar Salve</t>
  </si>
  <si>
    <t>Backpack</t>
  </si>
  <si>
    <t>Priya Chavan</t>
  </si>
  <si>
    <t>Washing Machine</t>
  </si>
  <si>
    <t>Rajesh Kadam</t>
  </si>
  <si>
    <t>Monitor</t>
  </si>
  <si>
    <t>Vaishnavi Patil</t>
  </si>
  <si>
    <t>Ceiling Fan</t>
  </si>
  <si>
    <t>Suresh Desai</t>
  </si>
  <si>
    <t>Water Purifier</t>
  </si>
  <si>
    <t>Aditi Phadke</t>
  </si>
  <si>
    <t>Dining Table</t>
  </si>
  <si>
    <t>Anand Gore</t>
  </si>
  <si>
    <t>Sandwich Maker</t>
  </si>
  <si>
    <t>Monika Pawar</t>
  </si>
  <si>
    <t>Keyboard</t>
  </si>
  <si>
    <t>Suraj Thakur</t>
  </si>
  <si>
    <t>Jeans</t>
  </si>
  <si>
    <t>Jaya Kale</t>
  </si>
  <si>
    <t>Dressing Table</t>
  </si>
  <si>
    <t>Tejas More</t>
  </si>
  <si>
    <t>Hair Dryer</t>
  </si>
  <si>
    <t>Manasi Khedekar</t>
  </si>
  <si>
    <t>Smartwatch</t>
  </si>
  <si>
    <t>Shubham Salunkhe</t>
  </si>
  <si>
    <t>Handbag</t>
  </si>
  <si>
    <t>Krishna Jadhav</t>
  </si>
  <si>
    <t>Books</t>
  </si>
  <si>
    <t>Stationery</t>
  </si>
  <si>
    <t>Sakshi Wagh</t>
  </si>
  <si>
    <t>Notebook</t>
  </si>
  <si>
    <t>Vaibhav Ingale</t>
  </si>
  <si>
    <t>Water Bottle</t>
  </si>
  <si>
    <r>
      <t xml:space="preserve">Write a VLOOKUP formula to return the </t>
    </r>
    <r>
      <rPr>
        <b/>
        <sz val="11"/>
        <color theme="1"/>
        <rFont val="Calibri"/>
        <family val="2"/>
        <scheme val="minor"/>
      </rPr>
      <t>ProductName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12</t>
    </r>
    <r>
      <rPr>
        <sz val="11"/>
        <color theme="1"/>
        <rFont val="Calibri"/>
        <family val="2"/>
        <scheme val="minor"/>
      </rPr>
      <t>.</t>
    </r>
  </si>
  <si>
    <r>
      <t xml:space="preserve">Using VLOOKUP, fetch the </t>
    </r>
    <r>
      <rPr>
        <b/>
        <sz val="11"/>
        <color theme="1"/>
        <rFont val="Calibri"/>
        <family val="2"/>
        <scheme val="minor"/>
      </rPr>
      <t>UnitPrice</t>
    </r>
    <r>
      <rPr>
        <sz val="11"/>
        <color theme="1"/>
        <rFont val="Calibri"/>
        <family val="2"/>
        <scheme val="minor"/>
      </rPr>
      <t xml:space="preserve"> of the product purchased by </t>
    </r>
    <r>
      <rPr>
        <b/>
        <sz val="11"/>
        <color theme="1"/>
        <rFont val="Calibri"/>
        <family val="2"/>
        <scheme val="minor"/>
      </rPr>
      <t>CustomerName = "Mahesh More"</t>
    </r>
    <r>
      <rPr>
        <sz val="11"/>
        <color theme="1"/>
        <rFont val="Calibri"/>
        <family val="2"/>
        <scheme val="minor"/>
      </rPr>
      <t>.</t>
    </r>
  </si>
  <si>
    <r>
      <t xml:space="preserve">Use VLOOKUP to find the </t>
    </r>
    <r>
      <rPr>
        <b/>
        <sz val="11"/>
        <color theme="1"/>
        <rFont val="Calibri"/>
        <family val="2"/>
        <scheme val="minor"/>
      </rPr>
      <t>Quantity sold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25</t>
    </r>
    <r>
      <rPr>
        <sz val="11"/>
        <color theme="1"/>
        <rFont val="Calibri"/>
        <family val="2"/>
        <scheme val="minor"/>
      </rPr>
      <t>.</t>
    </r>
  </si>
  <si>
    <t>Q4.</t>
  </si>
  <si>
    <t>Write a VLOOKUP formula to return the Region where SaleID = 19 was made.</t>
  </si>
  <si>
    <t>Q5.</t>
  </si>
  <si>
    <t>Using VLOOKUP, get the SalesPerson who handled the sale for SaleID = 5.</t>
  </si>
  <si>
    <t>Q6.</t>
  </si>
  <si>
    <t>Use VLOOKUP to find the PaymentMethod used for Customer = "Vaishnavi Patil".</t>
  </si>
  <si>
    <t>Q7.</t>
  </si>
  <si>
    <t>Create a VLOOKUP formula that returns the TotalAmount for ProductName = "Refrigerator".</t>
  </si>
  <si>
    <t>Q8.</t>
  </si>
  <si>
    <t>Return the Status of the sale for SaleID = 8 using VLOOKUP.</t>
  </si>
  <si>
    <t>Q9.</t>
  </si>
  <si>
    <t>Using VLOOKUP, find the Category of the product purchased by Customer = "Tanvi Joshi".</t>
  </si>
  <si>
    <t>Q10.</t>
  </si>
  <si>
    <t>Write a VLOOKUP formula to get the Date of the transaction for SaleID = 17.</t>
  </si>
  <si>
    <t>Total Amount</t>
  </si>
  <si>
    <t>VIVEK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</si>
</sst>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ECD9-4986-4B4B-84A7-2CF060C4C257}">
  <dimension ref="A1:P75"/>
  <sheetViews>
    <sheetView tabSelected="1" topLeftCell="D28" zoomScale="120" zoomScaleNormal="120" workbookViewId="0">
      <selection activeCell="F32" sqref="F32"/>
    </sheetView>
  </sheetViews>
  <sheetFormatPr defaultRowHeight="14.4" x14ac:dyDescent="0.3"/>
  <cols>
    <col min="1" max="1" width="6.21875" bestFit="1" customWidth="1"/>
    <col min="2" max="2" width="14.5546875" style="1" bestFit="1" customWidth="1"/>
    <col min="3" max="3" width="16.21875" bestFit="1" customWidth="1"/>
    <col min="4" max="4" width="16.109375" bestFit="1" customWidth="1"/>
    <col min="5" max="5" width="15.109375" bestFit="1" customWidth="1"/>
    <col min="6" max="6" width="8.33203125" bestFit="1" customWidth="1"/>
    <col min="7" max="7" width="8.6640625" bestFit="1" customWidth="1"/>
    <col min="8" max="8" width="12.109375" bestFit="1" customWidth="1"/>
    <col min="9" max="9" width="12.77734375" bestFit="1" customWidth="1"/>
    <col min="10" max="10" width="6.77734375" bestFit="1" customWidth="1"/>
    <col min="11" max="11" width="15.44140625" bestFit="1" customWidth="1"/>
    <col min="12" max="12" width="6.21875" bestFit="1" customWidth="1"/>
    <col min="13" max="13" width="16.5546875" bestFit="1" customWidth="1"/>
    <col min="14" max="14" width="8.33203125" bestFit="1" customWidth="1"/>
    <col min="15" max="15" width="8.6640625" bestFit="1" customWidth="1"/>
    <col min="16" max="17" width="12.109375" bestFit="1" customWidth="1"/>
  </cols>
  <sheetData>
    <row r="1" spans="1:12" x14ac:dyDescent="0.3">
      <c r="A1" s="4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7">
        <v>1</v>
      </c>
      <c r="B2" s="8">
        <v>45660</v>
      </c>
      <c r="C2" s="9" t="s">
        <v>12</v>
      </c>
      <c r="D2" s="10" t="s">
        <v>13</v>
      </c>
      <c r="E2" s="5" t="s">
        <v>14</v>
      </c>
      <c r="F2" s="5">
        <v>1</v>
      </c>
      <c r="G2" s="5">
        <v>55000</v>
      </c>
      <c r="H2" s="5">
        <v>55000</v>
      </c>
      <c r="I2" s="5" t="s">
        <v>15</v>
      </c>
      <c r="J2" s="5" t="s">
        <v>16</v>
      </c>
      <c r="K2" s="5" t="s">
        <v>17</v>
      </c>
      <c r="L2" s="5" t="s">
        <v>18</v>
      </c>
    </row>
    <row r="3" spans="1:12" x14ac:dyDescent="0.3">
      <c r="A3" s="7">
        <v>2</v>
      </c>
      <c r="B3" s="8">
        <v>45661</v>
      </c>
      <c r="C3" s="9" t="s">
        <v>19</v>
      </c>
      <c r="D3" s="10" t="s">
        <v>20</v>
      </c>
      <c r="E3" s="5" t="s">
        <v>14</v>
      </c>
      <c r="F3" s="5">
        <v>2</v>
      </c>
      <c r="G3" s="5">
        <v>18000</v>
      </c>
      <c r="H3" s="5">
        <v>36000</v>
      </c>
      <c r="I3" s="5" t="s">
        <v>21</v>
      </c>
      <c r="J3" s="5" t="s">
        <v>22</v>
      </c>
      <c r="K3" s="5" t="s">
        <v>23</v>
      </c>
      <c r="L3" s="5" t="s">
        <v>18</v>
      </c>
    </row>
    <row r="4" spans="1:12" x14ac:dyDescent="0.3">
      <c r="A4" s="7">
        <v>3</v>
      </c>
      <c r="B4" s="8">
        <v>45662</v>
      </c>
      <c r="C4" s="9" t="s">
        <v>24</v>
      </c>
      <c r="D4" s="10" t="s">
        <v>25</v>
      </c>
      <c r="E4" s="5" t="s">
        <v>26</v>
      </c>
      <c r="F4" s="5">
        <v>3</v>
      </c>
      <c r="G4" s="5">
        <v>4500</v>
      </c>
      <c r="H4" s="5">
        <v>13500</v>
      </c>
      <c r="I4" s="5" t="s">
        <v>27</v>
      </c>
      <c r="J4" s="5" t="s">
        <v>28</v>
      </c>
      <c r="K4" s="5" t="s">
        <v>17</v>
      </c>
      <c r="L4" s="5" t="s">
        <v>18</v>
      </c>
    </row>
    <row r="5" spans="1:12" x14ac:dyDescent="0.3">
      <c r="A5" s="7">
        <v>4</v>
      </c>
      <c r="B5" s="8">
        <v>45663</v>
      </c>
      <c r="C5" s="9" t="s">
        <v>29</v>
      </c>
      <c r="D5" s="10" t="s">
        <v>30</v>
      </c>
      <c r="E5" s="6" t="s">
        <v>31</v>
      </c>
      <c r="F5" s="6">
        <v>1</v>
      </c>
      <c r="G5" s="6">
        <v>7000</v>
      </c>
      <c r="H5" s="6">
        <v>7000</v>
      </c>
      <c r="I5" s="5" t="s">
        <v>32</v>
      </c>
      <c r="J5" s="5" t="s">
        <v>33</v>
      </c>
      <c r="K5" s="5" t="s">
        <v>34</v>
      </c>
      <c r="L5" s="5" t="s">
        <v>18</v>
      </c>
    </row>
    <row r="6" spans="1:12" x14ac:dyDescent="0.3">
      <c r="A6" s="7">
        <v>5</v>
      </c>
      <c r="B6" s="8">
        <v>45664</v>
      </c>
      <c r="C6" s="9" t="s">
        <v>35</v>
      </c>
      <c r="D6" s="10" t="s">
        <v>36</v>
      </c>
      <c r="E6" s="6" t="s">
        <v>31</v>
      </c>
      <c r="F6" s="6">
        <v>2</v>
      </c>
      <c r="G6" s="6">
        <v>2300</v>
      </c>
      <c r="H6" s="6">
        <v>4600</v>
      </c>
      <c r="I6" s="5" t="s">
        <v>37</v>
      </c>
      <c r="J6" s="5" t="s">
        <v>16</v>
      </c>
      <c r="K6" s="5" t="s">
        <v>17</v>
      </c>
      <c r="L6" s="5" t="s">
        <v>18</v>
      </c>
    </row>
    <row r="7" spans="1:12" x14ac:dyDescent="0.3">
      <c r="A7" s="7">
        <v>6</v>
      </c>
      <c r="B7" s="8">
        <v>45665</v>
      </c>
      <c r="C7" s="9" t="s">
        <v>38</v>
      </c>
      <c r="D7" s="10" t="s">
        <v>39</v>
      </c>
      <c r="E7" s="6" t="s">
        <v>14</v>
      </c>
      <c r="F7" s="6">
        <v>1</v>
      </c>
      <c r="G7" s="6">
        <v>32000</v>
      </c>
      <c r="H7" s="6">
        <v>32000</v>
      </c>
      <c r="I7" s="5" t="s">
        <v>15</v>
      </c>
      <c r="J7" s="5" t="s">
        <v>22</v>
      </c>
      <c r="K7" s="5" t="s">
        <v>23</v>
      </c>
      <c r="L7" s="5" t="s">
        <v>18</v>
      </c>
    </row>
    <row r="8" spans="1:12" x14ac:dyDescent="0.3">
      <c r="A8" s="7">
        <v>7</v>
      </c>
      <c r="B8" s="8">
        <v>45666</v>
      </c>
      <c r="C8" s="9" t="s">
        <v>40</v>
      </c>
      <c r="D8" s="10" t="s">
        <v>41</v>
      </c>
      <c r="E8" s="5" t="s">
        <v>14</v>
      </c>
      <c r="F8" s="5">
        <v>2</v>
      </c>
      <c r="G8" s="5">
        <v>1500</v>
      </c>
      <c r="H8" s="5">
        <v>3000</v>
      </c>
      <c r="I8" s="5" t="s">
        <v>21</v>
      </c>
      <c r="J8" s="5" t="s">
        <v>28</v>
      </c>
      <c r="K8" s="5" t="s">
        <v>17</v>
      </c>
      <c r="L8" s="5" t="s">
        <v>18</v>
      </c>
    </row>
    <row r="9" spans="1:12" x14ac:dyDescent="0.3">
      <c r="A9" s="7">
        <v>8</v>
      </c>
      <c r="B9" s="8">
        <v>45667</v>
      </c>
      <c r="C9" s="9" t="s">
        <v>42</v>
      </c>
      <c r="D9" s="10" t="s">
        <v>43</v>
      </c>
      <c r="E9" s="5" t="s">
        <v>26</v>
      </c>
      <c r="F9" s="5">
        <v>1</v>
      </c>
      <c r="G9" s="5">
        <v>6000</v>
      </c>
      <c r="H9" s="5">
        <v>6000</v>
      </c>
      <c r="I9" s="5" t="s">
        <v>27</v>
      </c>
      <c r="J9" s="5" t="s">
        <v>33</v>
      </c>
      <c r="K9" s="5" t="s">
        <v>44</v>
      </c>
      <c r="L9" s="5" t="s">
        <v>18</v>
      </c>
    </row>
    <row r="10" spans="1:12" x14ac:dyDescent="0.3">
      <c r="A10" s="7">
        <v>9</v>
      </c>
      <c r="B10" s="8">
        <v>45668</v>
      </c>
      <c r="C10" s="9" t="s">
        <v>45</v>
      </c>
      <c r="D10" s="10" t="s">
        <v>46</v>
      </c>
      <c r="E10" s="5" t="s">
        <v>31</v>
      </c>
      <c r="F10" s="5">
        <v>1</v>
      </c>
      <c r="G10" s="5">
        <v>28000</v>
      </c>
      <c r="H10" s="5">
        <v>28000</v>
      </c>
      <c r="I10" s="5" t="s">
        <v>32</v>
      </c>
      <c r="J10" s="5" t="s">
        <v>16</v>
      </c>
      <c r="K10" s="5" t="s">
        <v>17</v>
      </c>
      <c r="L10" s="5" t="s">
        <v>18</v>
      </c>
    </row>
    <row r="11" spans="1:12" x14ac:dyDescent="0.3">
      <c r="A11" s="7">
        <v>10</v>
      </c>
      <c r="B11" s="8">
        <v>45669</v>
      </c>
      <c r="C11" s="9" t="s">
        <v>47</v>
      </c>
      <c r="D11" s="10" t="s">
        <v>48</v>
      </c>
      <c r="E11" s="5" t="s">
        <v>26</v>
      </c>
      <c r="F11" s="5">
        <v>3</v>
      </c>
      <c r="G11" s="5">
        <v>900</v>
      </c>
      <c r="H11" s="5">
        <v>2700</v>
      </c>
      <c r="I11" s="5" t="s">
        <v>37</v>
      </c>
      <c r="J11" s="5" t="s">
        <v>22</v>
      </c>
      <c r="K11" s="5" t="s">
        <v>34</v>
      </c>
      <c r="L11" s="5" t="s">
        <v>18</v>
      </c>
    </row>
    <row r="12" spans="1:12" x14ac:dyDescent="0.3">
      <c r="A12" s="7">
        <v>11</v>
      </c>
      <c r="B12" s="8">
        <v>45670</v>
      </c>
      <c r="C12" s="9" t="s">
        <v>49</v>
      </c>
      <c r="D12" s="10" t="s">
        <v>50</v>
      </c>
      <c r="E12" s="5" t="s">
        <v>31</v>
      </c>
      <c r="F12" s="5">
        <v>1</v>
      </c>
      <c r="G12" s="5">
        <v>8500</v>
      </c>
      <c r="H12" s="5">
        <v>8500</v>
      </c>
      <c r="I12" s="5" t="s">
        <v>15</v>
      </c>
      <c r="J12" s="5" t="s">
        <v>28</v>
      </c>
      <c r="K12" s="5" t="s">
        <v>23</v>
      </c>
      <c r="L12" s="5" t="s">
        <v>18</v>
      </c>
    </row>
    <row r="13" spans="1:12" x14ac:dyDescent="0.3">
      <c r="A13" s="7">
        <v>12</v>
      </c>
      <c r="B13" s="8">
        <v>45671</v>
      </c>
      <c r="C13" s="9" t="s">
        <v>51</v>
      </c>
      <c r="D13" s="10" t="s">
        <v>52</v>
      </c>
      <c r="E13" s="5" t="s">
        <v>14</v>
      </c>
      <c r="F13" s="5">
        <v>1</v>
      </c>
      <c r="G13" s="5">
        <v>12000</v>
      </c>
      <c r="H13" s="5">
        <v>12000</v>
      </c>
      <c r="I13" s="5" t="s">
        <v>21</v>
      </c>
      <c r="J13" s="5" t="s">
        <v>33</v>
      </c>
      <c r="K13" s="5" t="s">
        <v>17</v>
      </c>
      <c r="L13" s="5" t="s">
        <v>18</v>
      </c>
    </row>
    <row r="14" spans="1:12" x14ac:dyDescent="0.3">
      <c r="A14" s="7">
        <v>13</v>
      </c>
      <c r="B14" s="8">
        <v>45672</v>
      </c>
      <c r="C14" s="9" t="s">
        <v>53</v>
      </c>
      <c r="D14" s="10" t="s">
        <v>54</v>
      </c>
      <c r="E14" s="5" t="s">
        <v>55</v>
      </c>
      <c r="F14" s="5">
        <v>2</v>
      </c>
      <c r="G14" s="5">
        <v>2000</v>
      </c>
      <c r="H14" s="5">
        <v>4000</v>
      </c>
      <c r="I14" s="5" t="s">
        <v>27</v>
      </c>
      <c r="J14" s="5" t="s">
        <v>16</v>
      </c>
      <c r="K14" s="5" t="s">
        <v>44</v>
      </c>
      <c r="L14" s="5" t="s">
        <v>18</v>
      </c>
    </row>
    <row r="15" spans="1:12" x14ac:dyDescent="0.3">
      <c r="A15" s="7">
        <v>14</v>
      </c>
      <c r="B15" s="8">
        <v>45673</v>
      </c>
      <c r="C15" s="9" t="s">
        <v>56</v>
      </c>
      <c r="D15" s="10" t="s">
        <v>57</v>
      </c>
      <c r="E15" s="5" t="s">
        <v>55</v>
      </c>
      <c r="F15" s="5">
        <v>4</v>
      </c>
      <c r="G15" s="5">
        <v>400</v>
      </c>
      <c r="H15" s="5">
        <v>1600</v>
      </c>
      <c r="I15" s="5" t="s">
        <v>32</v>
      </c>
      <c r="J15" s="5" t="s">
        <v>22</v>
      </c>
      <c r="K15" s="5" t="s">
        <v>17</v>
      </c>
      <c r="L15" s="5" t="s">
        <v>18</v>
      </c>
    </row>
    <row r="16" spans="1:12" x14ac:dyDescent="0.3">
      <c r="A16" s="7">
        <v>15</v>
      </c>
      <c r="B16" s="8">
        <v>45674</v>
      </c>
      <c r="C16" s="9" t="s">
        <v>58</v>
      </c>
      <c r="D16" s="10" t="s">
        <v>59</v>
      </c>
      <c r="E16" s="5" t="s">
        <v>55</v>
      </c>
      <c r="F16" s="5">
        <v>1</v>
      </c>
      <c r="G16" s="5">
        <v>1500</v>
      </c>
      <c r="H16" s="5">
        <v>1500</v>
      </c>
      <c r="I16" s="5" t="s">
        <v>37</v>
      </c>
      <c r="J16" s="5" t="s">
        <v>28</v>
      </c>
      <c r="K16" s="5" t="s">
        <v>34</v>
      </c>
      <c r="L16" s="5" t="s">
        <v>18</v>
      </c>
    </row>
    <row r="17" spans="1:16" x14ac:dyDescent="0.3">
      <c r="A17" s="7">
        <v>16</v>
      </c>
      <c r="B17" s="8">
        <v>45675</v>
      </c>
      <c r="C17" s="9" t="s">
        <v>60</v>
      </c>
      <c r="D17" s="10" t="s">
        <v>61</v>
      </c>
      <c r="E17" s="5" t="s">
        <v>31</v>
      </c>
      <c r="F17" s="5">
        <v>1</v>
      </c>
      <c r="G17" s="5">
        <v>24000</v>
      </c>
      <c r="H17" s="5">
        <v>24000</v>
      </c>
      <c r="I17" s="5" t="s">
        <v>15</v>
      </c>
      <c r="J17" s="5" t="s">
        <v>33</v>
      </c>
      <c r="K17" s="5" t="s">
        <v>23</v>
      </c>
      <c r="L17" s="5" t="s">
        <v>18</v>
      </c>
    </row>
    <row r="18" spans="1:16" x14ac:dyDescent="0.3">
      <c r="A18" s="7">
        <v>17</v>
      </c>
      <c r="B18" s="8">
        <v>45676</v>
      </c>
      <c r="C18" s="9" t="s">
        <v>62</v>
      </c>
      <c r="D18" s="10" t="s">
        <v>63</v>
      </c>
      <c r="E18" s="5" t="s">
        <v>14</v>
      </c>
      <c r="F18" s="5">
        <v>1</v>
      </c>
      <c r="G18" s="5">
        <v>9500</v>
      </c>
      <c r="H18" s="5">
        <v>9500</v>
      </c>
      <c r="I18" s="5" t="s">
        <v>21</v>
      </c>
      <c r="J18" s="5" t="s">
        <v>16</v>
      </c>
      <c r="K18" s="5" t="s">
        <v>17</v>
      </c>
      <c r="L18" s="5" t="s">
        <v>18</v>
      </c>
    </row>
    <row r="19" spans="1:16" x14ac:dyDescent="0.3">
      <c r="A19" s="7">
        <v>18</v>
      </c>
      <c r="B19" s="8">
        <v>45677</v>
      </c>
      <c r="C19" s="9" t="s">
        <v>64</v>
      </c>
      <c r="D19" s="10" t="s">
        <v>65</v>
      </c>
      <c r="E19" s="5" t="s">
        <v>31</v>
      </c>
      <c r="F19" s="5">
        <v>2</v>
      </c>
      <c r="G19" s="5">
        <v>2700</v>
      </c>
      <c r="H19" s="5">
        <v>5400</v>
      </c>
      <c r="I19" s="5" t="s">
        <v>27</v>
      </c>
      <c r="J19" s="5" t="s">
        <v>22</v>
      </c>
      <c r="K19" s="5" t="s">
        <v>34</v>
      </c>
      <c r="L19" s="5" t="s">
        <v>18</v>
      </c>
    </row>
    <row r="20" spans="1:16" x14ac:dyDescent="0.3">
      <c r="A20" s="7">
        <v>19</v>
      </c>
      <c r="B20" s="8">
        <v>45678</v>
      </c>
      <c r="C20" s="9" t="s">
        <v>66</v>
      </c>
      <c r="D20" s="10" t="s">
        <v>67</v>
      </c>
      <c r="E20" s="5" t="s">
        <v>31</v>
      </c>
      <c r="F20" s="5">
        <v>1</v>
      </c>
      <c r="G20" s="5">
        <v>15000</v>
      </c>
      <c r="H20" s="5">
        <v>15000</v>
      </c>
      <c r="I20" s="5" t="s">
        <v>32</v>
      </c>
      <c r="J20" s="5" t="s">
        <v>28</v>
      </c>
      <c r="K20" s="5" t="s">
        <v>17</v>
      </c>
      <c r="L20" s="5" t="s">
        <v>18</v>
      </c>
    </row>
    <row r="21" spans="1:16" x14ac:dyDescent="0.3">
      <c r="A21" s="7">
        <v>20</v>
      </c>
      <c r="B21" s="8">
        <v>45679</v>
      </c>
      <c r="C21" s="9" t="s">
        <v>68</v>
      </c>
      <c r="D21" s="10" t="s">
        <v>69</v>
      </c>
      <c r="E21" s="5" t="s">
        <v>26</v>
      </c>
      <c r="F21" s="5">
        <v>1</v>
      </c>
      <c r="G21" s="5">
        <v>18000</v>
      </c>
      <c r="H21" s="5">
        <v>18000</v>
      </c>
      <c r="I21" s="5" t="s">
        <v>37</v>
      </c>
      <c r="J21" s="5" t="s">
        <v>33</v>
      </c>
      <c r="K21" s="5" t="s">
        <v>23</v>
      </c>
      <c r="L21" s="5" t="s">
        <v>18</v>
      </c>
    </row>
    <row r="22" spans="1:16" x14ac:dyDescent="0.3">
      <c r="A22" s="7">
        <v>21</v>
      </c>
      <c r="B22" s="8">
        <v>45680</v>
      </c>
      <c r="C22" s="9" t="s">
        <v>70</v>
      </c>
      <c r="D22" s="10" t="s">
        <v>71</v>
      </c>
      <c r="E22" s="5" t="s">
        <v>31</v>
      </c>
      <c r="F22" s="5">
        <v>1</v>
      </c>
      <c r="G22" s="5">
        <v>2500</v>
      </c>
      <c r="H22" s="5">
        <v>2500</v>
      </c>
      <c r="I22" s="5" t="s">
        <v>15</v>
      </c>
      <c r="J22" s="5" t="s">
        <v>16</v>
      </c>
      <c r="K22" s="5" t="s">
        <v>17</v>
      </c>
      <c r="L22" s="5" t="s">
        <v>18</v>
      </c>
    </row>
    <row r="23" spans="1:16" x14ac:dyDescent="0.3">
      <c r="A23" s="7">
        <v>22</v>
      </c>
      <c r="B23" s="8">
        <v>45681</v>
      </c>
      <c r="C23" s="9" t="s">
        <v>72</v>
      </c>
      <c r="D23" s="10" t="s">
        <v>73</v>
      </c>
      <c r="E23" s="5" t="s">
        <v>14</v>
      </c>
      <c r="F23" s="5">
        <v>2</v>
      </c>
      <c r="G23" s="5">
        <v>1200</v>
      </c>
      <c r="H23" s="5">
        <v>2400</v>
      </c>
      <c r="I23" s="5" t="s">
        <v>21</v>
      </c>
      <c r="J23" s="5" t="s">
        <v>22</v>
      </c>
      <c r="K23" s="5" t="s">
        <v>44</v>
      </c>
      <c r="L23" s="5" t="s">
        <v>18</v>
      </c>
    </row>
    <row r="24" spans="1:16" x14ac:dyDescent="0.3">
      <c r="A24" s="7">
        <v>23</v>
      </c>
      <c r="B24" s="8">
        <v>45682</v>
      </c>
      <c r="C24" s="9" t="s">
        <v>74</v>
      </c>
      <c r="D24" s="10" t="s">
        <v>75</v>
      </c>
      <c r="E24" s="5" t="s">
        <v>55</v>
      </c>
      <c r="F24" s="5">
        <v>2</v>
      </c>
      <c r="G24" s="5">
        <v>1100</v>
      </c>
      <c r="H24" s="5">
        <v>2200</v>
      </c>
      <c r="I24" s="5" t="s">
        <v>27</v>
      </c>
      <c r="J24" s="5" t="s">
        <v>28</v>
      </c>
      <c r="K24" s="5" t="s">
        <v>34</v>
      </c>
      <c r="L24" s="5" t="s">
        <v>18</v>
      </c>
    </row>
    <row r="25" spans="1:16" x14ac:dyDescent="0.3">
      <c r="A25" s="7">
        <v>24</v>
      </c>
      <c r="B25" s="8">
        <v>45683</v>
      </c>
      <c r="C25" s="9" t="s">
        <v>76</v>
      </c>
      <c r="D25" s="10" t="s">
        <v>77</v>
      </c>
      <c r="E25" s="5" t="s">
        <v>26</v>
      </c>
      <c r="F25" s="5">
        <v>1</v>
      </c>
      <c r="G25" s="5">
        <v>14000</v>
      </c>
      <c r="H25" s="5">
        <v>14000</v>
      </c>
      <c r="I25" s="5" t="s">
        <v>32</v>
      </c>
      <c r="J25" s="5" t="s">
        <v>33</v>
      </c>
      <c r="K25" s="5" t="s">
        <v>17</v>
      </c>
      <c r="L25" s="5" t="s">
        <v>18</v>
      </c>
    </row>
    <row r="26" spans="1:16" x14ac:dyDescent="0.3">
      <c r="A26" s="7">
        <v>25</v>
      </c>
      <c r="B26" s="8">
        <v>45684</v>
      </c>
      <c r="C26" s="9" t="s">
        <v>78</v>
      </c>
      <c r="D26" s="10" t="s">
        <v>79</v>
      </c>
      <c r="E26" s="5" t="s">
        <v>55</v>
      </c>
      <c r="F26" s="5">
        <v>1</v>
      </c>
      <c r="G26" s="5">
        <v>1900</v>
      </c>
      <c r="H26" s="5">
        <v>1900</v>
      </c>
      <c r="I26" s="5" t="s">
        <v>37</v>
      </c>
      <c r="J26" s="5" t="s">
        <v>16</v>
      </c>
      <c r="K26" s="5" t="s">
        <v>34</v>
      </c>
      <c r="L26" s="5" t="s">
        <v>18</v>
      </c>
    </row>
    <row r="27" spans="1:16" x14ac:dyDescent="0.3">
      <c r="A27" s="7">
        <v>26</v>
      </c>
      <c r="B27" s="8">
        <v>45685</v>
      </c>
      <c r="C27" s="9" t="s">
        <v>80</v>
      </c>
      <c r="D27" s="10" t="s">
        <v>81</v>
      </c>
      <c r="E27" s="5" t="s">
        <v>14</v>
      </c>
      <c r="F27" s="5">
        <v>1</v>
      </c>
      <c r="G27" s="5">
        <v>4500</v>
      </c>
      <c r="H27" s="5">
        <v>4500</v>
      </c>
      <c r="I27" s="5" t="s">
        <v>15</v>
      </c>
      <c r="J27" s="5" t="s">
        <v>22</v>
      </c>
      <c r="K27" s="5" t="s">
        <v>17</v>
      </c>
      <c r="L27" s="5" t="s">
        <v>18</v>
      </c>
    </row>
    <row r="28" spans="1:16" x14ac:dyDescent="0.3">
      <c r="A28" s="7">
        <v>27</v>
      </c>
      <c r="B28" s="8">
        <v>45686</v>
      </c>
      <c r="C28" s="9" t="s">
        <v>82</v>
      </c>
      <c r="D28" s="10" t="s">
        <v>83</v>
      </c>
      <c r="E28" s="5" t="s">
        <v>55</v>
      </c>
      <c r="F28" s="5">
        <v>1</v>
      </c>
      <c r="G28" s="5">
        <v>2200</v>
      </c>
      <c r="H28" s="5">
        <v>2200</v>
      </c>
      <c r="I28" s="5" t="s">
        <v>21</v>
      </c>
      <c r="J28" s="5" t="s">
        <v>28</v>
      </c>
      <c r="K28" s="5" t="s">
        <v>23</v>
      </c>
      <c r="L28" s="5" t="s">
        <v>18</v>
      </c>
    </row>
    <row r="29" spans="1:16" x14ac:dyDescent="0.3">
      <c r="A29" s="7">
        <v>28</v>
      </c>
      <c r="B29" s="8">
        <v>45687</v>
      </c>
      <c r="C29" s="9" t="s">
        <v>84</v>
      </c>
      <c r="D29" s="10" t="s">
        <v>85</v>
      </c>
      <c r="E29" s="5" t="s">
        <v>86</v>
      </c>
      <c r="F29" s="5">
        <v>5</v>
      </c>
      <c r="G29" s="5">
        <v>300</v>
      </c>
      <c r="H29" s="5">
        <v>1500</v>
      </c>
      <c r="I29" s="5" t="s">
        <v>27</v>
      </c>
      <c r="J29" s="5" t="s">
        <v>33</v>
      </c>
      <c r="K29" s="5" t="s">
        <v>17</v>
      </c>
      <c r="L29" s="5" t="s">
        <v>18</v>
      </c>
    </row>
    <row r="30" spans="1:16" x14ac:dyDescent="0.3">
      <c r="A30" s="7">
        <v>29</v>
      </c>
      <c r="B30" s="8">
        <v>45688</v>
      </c>
      <c r="C30" s="9" t="s">
        <v>87</v>
      </c>
      <c r="D30" s="10" t="s">
        <v>88</v>
      </c>
      <c r="E30" s="5" t="s">
        <v>86</v>
      </c>
      <c r="F30" s="5">
        <v>10</v>
      </c>
      <c r="G30" s="5">
        <v>50</v>
      </c>
      <c r="H30" s="5">
        <v>500</v>
      </c>
      <c r="I30" s="5" t="s">
        <v>32</v>
      </c>
      <c r="J30" s="5" t="s">
        <v>16</v>
      </c>
      <c r="K30" s="5" t="s">
        <v>34</v>
      </c>
      <c r="L30" s="5" t="s">
        <v>18</v>
      </c>
    </row>
    <row r="31" spans="1:16" x14ac:dyDescent="0.3">
      <c r="A31" s="7">
        <v>30</v>
      </c>
      <c r="B31" s="8">
        <v>45689</v>
      </c>
      <c r="C31" s="9" t="s">
        <v>89</v>
      </c>
      <c r="D31" s="10" t="s">
        <v>90</v>
      </c>
      <c r="E31" s="5" t="s">
        <v>86</v>
      </c>
      <c r="F31" s="5">
        <v>3</v>
      </c>
      <c r="G31" s="5">
        <v>150</v>
      </c>
      <c r="H31" s="5">
        <v>450</v>
      </c>
      <c r="I31" s="5" t="s">
        <v>37</v>
      </c>
      <c r="J31" s="5" t="s">
        <v>22</v>
      </c>
      <c r="K31" s="5" t="s">
        <v>17</v>
      </c>
      <c r="L31" s="5" t="s">
        <v>18</v>
      </c>
    </row>
    <row r="32" spans="1:16" x14ac:dyDescent="0.3">
      <c r="M32" s="12" t="s">
        <v>109</v>
      </c>
      <c r="N32" s="12"/>
      <c r="O32" s="12"/>
      <c r="P32" s="12"/>
    </row>
    <row r="33" spans="1:16" x14ac:dyDescent="0.3">
      <c r="M33" s="12"/>
      <c r="N33" s="12"/>
      <c r="O33" s="12"/>
      <c r="P33" s="12"/>
    </row>
    <row r="34" spans="1:16" x14ac:dyDescent="0.3">
      <c r="M34" s="4" t="s">
        <v>3</v>
      </c>
      <c r="N34" s="4" t="s">
        <v>5</v>
      </c>
      <c r="O34" s="4" t="s">
        <v>6</v>
      </c>
      <c r="P34" s="4" t="s">
        <v>7</v>
      </c>
    </row>
    <row r="35" spans="1:16" x14ac:dyDescent="0.3">
      <c r="A35">
        <v>1</v>
      </c>
      <c r="B35" s="1" t="s">
        <v>91</v>
      </c>
      <c r="M35" s="6" t="s">
        <v>39</v>
      </c>
      <c r="N35" s="5">
        <v>2</v>
      </c>
      <c r="O35" s="5">
        <f>VLOOKUP(M35,$D$1:$L$31,4,0)</f>
        <v>32000</v>
      </c>
      <c r="P35" s="5">
        <f>O35*N35</f>
        <v>64000</v>
      </c>
    </row>
    <row r="36" spans="1:16" x14ac:dyDescent="0.3">
      <c r="C36" s="4" t="s">
        <v>0</v>
      </c>
      <c r="E36" s="4" t="s">
        <v>3</v>
      </c>
      <c r="M36" s="6" t="s">
        <v>20</v>
      </c>
      <c r="N36" s="5">
        <v>2</v>
      </c>
      <c r="O36" s="5">
        <f>VLOOKUP(M36,$D$1:$L$31,4,0)</f>
        <v>18000</v>
      </c>
      <c r="P36" s="5">
        <f t="shared" ref="P36:P49" si="0">O36*N36</f>
        <v>36000</v>
      </c>
    </row>
    <row r="37" spans="1:16" x14ac:dyDescent="0.3">
      <c r="C37">
        <v>12</v>
      </c>
      <c r="E37" t="str">
        <f>VLOOKUP(C37,A1:L31,4,0)</f>
        <v>Printer</v>
      </c>
      <c r="M37" s="6" t="s">
        <v>25</v>
      </c>
      <c r="N37" s="5">
        <v>3</v>
      </c>
      <c r="O37" s="5">
        <f t="shared" ref="O37:O48" si="1">VLOOKUP(M37,$D$1:$L$31,4,0)</f>
        <v>4500</v>
      </c>
      <c r="P37" s="5">
        <f t="shared" si="0"/>
        <v>13500</v>
      </c>
    </row>
    <row r="38" spans="1:16" x14ac:dyDescent="0.3">
      <c r="M38" s="6" t="s">
        <v>30</v>
      </c>
      <c r="N38" s="6">
        <v>1</v>
      </c>
      <c r="O38" s="5">
        <f t="shared" si="1"/>
        <v>7000</v>
      </c>
      <c r="P38" s="5">
        <f t="shared" si="0"/>
        <v>7000</v>
      </c>
    </row>
    <row r="39" spans="1:16" x14ac:dyDescent="0.3">
      <c r="M39" s="6" t="s">
        <v>36</v>
      </c>
      <c r="N39" s="6">
        <v>2</v>
      </c>
      <c r="O39" s="5">
        <f t="shared" si="1"/>
        <v>2300</v>
      </c>
      <c r="P39" s="5">
        <f t="shared" si="0"/>
        <v>4600</v>
      </c>
    </row>
    <row r="40" spans="1:16" x14ac:dyDescent="0.3">
      <c r="A40">
        <v>2</v>
      </c>
      <c r="B40" s="1" t="s">
        <v>92</v>
      </c>
      <c r="M40" s="6" t="s">
        <v>39</v>
      </c>
      <c r="N40" s="6">
        <v>1</v>
      </c>
      <c r="O40" s="5">
        <f t="shared" si="1"/>
        <v>32000</v>
      </c>
      <c r="P40" s="5">
        <f t="shared" si="0"/>
        <v>32000</v>
      </c>
    </row>
    <row r="41" spans="1:16" x14ac:dyDescent="0.3">
      <c r="C41" s="3" t="s">
        <v>2</v>
      </c>
      <c r="E41" s="4" t="s">
        <v>6</v>
      </c>
      <c r="M41" s="6" t="s">
        <v>41</v>
      </c>
      <c r="N41" s="5">
        <v>2</v>
      </c>
      <c r="O41" s="5">
        <f t="shared" si="1"/>
        <v>1500</v>
      </c>
      <c r="P41" s="5">
        <f t="shared" si="0"/>
        <v>3000</v>
      </c>
    </row>
    <row r="42" spans="1:16" x14ac:dyDescent="0.3">
      <c r="C42" t="s">
        <v>45</v>
      </c>
      <c r="E42">
        <f>VLOOKUP(C42,C1:L31,5,0)</f>
        <v>28000</v>
      </c>
      <c r="M42" s="6" t="s">
        <v>43</v>
      </c>
      <c r="N42" s="5">
        <v>1</v>
      </c>
      <c r="O42" s="5">
        <f t="shared" si="1"/>
        <v>6000</v>
      </c>
      <c r="P42" s="5">
        <f t="shared" si="0"/>
        <v>6000</v>
      </c>
    </row>
    <row r="43" spans="1:16" x14ac:dyDescent="0.3">
      <c r="M43" s="6" t="s">
        <v>46</v>
      </c>
      <c r="N43" s="5">
        <v>1</v>
      </c>
      <c r="O43" s="5">
        <f t="shared" si="1"/>
        <v>28000</v>
      </c>
      <c r="P43" s="5">
        <f t="shared" si="0"/>
        <v>28000</v>
      </c>
    </row>
    <row r="44" spans="1:16" x14ac:dyDescent="0.3">
      <c r="M44" s="6" t="s">
        <v>48</v>
      </c>
      <c r="N44" s="5">
        <v>3</v>
      </c>
      <c r="O44" s="5">
        <f t="shared" si="1"/>
        <v>900</v>
      </c>
      <c r="P44" s="5">
        <f t="shared" si="0"/>
        <v>2700</v>
      </c>
    </row>
    <row r="45" spans="1:16" x14ac:dyDescent="0.3">
      <c r="A45">
        <v>3</v>
      </c>
      <c r="B45" s="1" t="s">
        <v>93</v>
      </c>
      <c r="M45" s="6" t="s">
        <v>50</v>
      </c>
      <c r="N45" s="5">
        <v>1</v>
      </c>
      <c r="O45" s="5">
        <f t="shared" si="1"/>
        <v>8500</v>
      </c>
      <c r="P45" s="5">
        <f t="shared" si="0"/>
        <v>8500</v>
      </c>
    </row>
    <row r="46" spans="1:16" x14ac:dyDescent="0.3">
      <c r="C46" s="4" t="s">
        <v>0</v>
      </c>
      <c r="E46" s="4" t="s">
        <v>5</v>
      </c>
      <c r="M46" s="6" t="s">
        <v>52</v>
      </c>
      <c r="N46" s="5">
        <v>1</v>
      </c>
      <c r="O46" s="5">
        <f t="shared" si="1"/>
        <v>12000</v>
      </c>
      <c r="P46" s="5">
        <f t="shared" si="0"/>
        <v>12000</v>
      </c>
    </row>
    <row r="47" spans="1:16" x14ac:dyDescent="0.3">
      <c r="C47">
        <v>25</v>
      </c>
      <c r="E47">
        <f>VLOOKUP(C47,A1:L31,6,0)</f>
        <v>1</v>
      </c>
      <c r="M47" s="6" t="s">
        <v>54</v>
      </c>
      <c r="N47" s="5">
        <v>3</v>
      </c>
      <c r="O47" s="5">
        <f t="shared" si="1"/>
        <v>2000</v>
      </c>
      <c r="P47" s="5">
        <f t="shared" si="0"/>
        <v>6000</v>
      </c>
    </row>
    <row r="48" spans="1:16" x14ac:dyDescent="0.3">
      <c r="M48" s="6" t="s">
        <v>57</v>
      </c>
      <c r="N48" s="5">
        <v>5</v>
      </c>
      <c r="O48" s="5">
        <f t="shared" si="1"/>
        <v>400</v>
      </c>
      <c r="P48" s="5">
        <f t="shared" si="0"/>
        <v>2000</v>
      </c>
    </row>
    <row r="49" spans="1:16" x14ac:dyDescent="0.3">
      <c r="A49" s="1" t="s">
        <v>94</v>
      </c>
      <c r="B49" s="1" t="s">
        <v>95</v>
      </c>
      <c r="M49" s="11" t="s">
        <v>108</v>
      </c>
      <c r="N49" s="11"/>
      <c r="O49" s="11"/>
      <c r="P49" s="5">
        <f>SUM(P35:P48)</f>
        <v>225300</v>
      </c>
    </row>
    <row r="50" spans="1:16" x14ac:dyDescent="0.3">
      <c r="C50" s="4" t="s">
        <v>0</v>
      </c>
      <c r="E50" s="4" t="s">
        <v>9</v>
      </c>
    </row>
    <row r="51" spans="1:16" x14ac:dyDescent="0.3">
      <c r="C51">
        <v>19</v>
      </c>
      <c r="E51" t="str">
        <f>VLOOKUP(C51,A1:L31,10,0)</f>
        <v>South</v>
      </c>
    </row>
    <row r="53" spans="1:16" x14ac:dyDescent="0.3">
      <c r="A53" s="1" t="s">
        <v>96</v>
      </c>
      <c r="B53" s="1" t="s">
        <v>97</v>
      </c>
    </row>
    <row r="54" spans="1:16" x14ac:dyDescent="0.3">
      <c r="C54" s="4" t="s">
        <v>0</v>
      </c>
      <c r="E54" s="4" t="s">
        <v>8</v>
      </c>
    </row>
    <row r="55" spans="1:16" x14ac:dyDescent="0.3">
      <c r="C55">
        <v>5</v>
      </c>
      <c r="E55" t="str">
        <f>VLOOKUP(C55,A1:L31,9,0)</f>
        <v>Deepa Nair</v>
      </c>
    </row>
    <row r="57" spans="1:16" x14ac:dyDescent="0.3">
      <c r="A57" s="1" t="s">
        <v>98</v>
      </c>
      <c r="B57" s="1" t="s">
        <v>99</v>
      </c>
    </row>
    <row r="58" spans="1:16" x14ac:dyDescent="0.3">
      <c r="C58" s="4" t="s">
        <v>2</v>
      </c>
      <c r="E58" s="4" t="s">
        <v>10</v>
      </c>
    </row>
    <row r="59" spans="1:16" x14ac:dyDescent="0.3">
      <c r="C59" t="s">
        <v>64</v>
      </c>
      <c r="E59" t="str">
        <f>VLOOKUP(C59,C1:L31,9,0)</f>
        <v>Cash</v>
      </c>
    </row>
    <row r="61" spans="1:16" x14ac:dyDescent="0.3">
      <c r="A61" s="1" t="s">
        <v>100</v>
      </c>
      <c r="B61" s="1" t="s">
        <v>101</v>
      </c>
    </row>
    <row r="62" spans="1:16" x14ac:dyDescent="0.3">
      <c r="C62" s="4" t="s">
        <v>3</v>
      </c>
      <c r="E62" s="4" t="s">
        <v>7</v>
      </c>
    </row>
    <row r="63" spans="1:16" x14ac:dyDescent="0.3">
      <c r="C63" t="s">
        <v>46</v>
      </c>
      <c r="E63">
        <f>VLOOKUP(C63,D1:L31,5,0)</f>
        <v>28000</v>
      </c>
    </row>
    <row r="65" spans="1:5" x14ac:dyDescent="0.3">
      <c r="A65" s="1" t="s">
        <v>102</v>
      </c>
      <c r="B65" s="1" t="s">
        <v>103</v>
      </c>
    </row>
    <row r="66" spans="1:5" x14ac:dyDescent="0.3">
      <c r="C66" s="4" t="s">
        <v>0</v>
      </c>
      <c r="E66" s="4" t="s">
        <v>11</v>
      </c>
    </row>
    <row r="67" spans="1:5" x14ac:dyDescent="0.3">
      <c r="C67">
        <v>8</v>
      </c>
      <c r="E67" t="str">
        <f>VLOOKUP(C67,A1:L31,12,0)</f>
        <v>Paid</v>
      </c>
    </row>
    <row r="69" spans="1:5" x14ac:dyDescent="0.3">
      <c r="A69" s="1" t="s">
        <v>104</v>
      </c>
      <c r="B69" s="1" t="s">
        <v>105</v>
      </c>
    </row>
    <row r="70" spans="1:5" x14ac:dyDescent="0.3">
      <c r="C70" s="4" t="s">
        <v>2</v>
      </c>
      <c r="E70" s="4" t="s">
        <v>4</v>
      </c>
    </row>
    <row r="71" spans="1:5" x14ac:dyDescent="0.3">
      <c r="C71" t="s">
        <v>56</v>
      </c>
      <c r="E71" t="str">
        <f>VLOOKUP(C71,C1:L31,3,0)</f>
        <v>Fashion</v>
      </c>
    </row>
    <row r="73" spans="1:5" x14ac:dyDescent="0.3">
      <c r="A73" s="1" t="s">
        <v>106</v>
      </c>
      <c r="B73" s="1" t="s">
        <v>107</v>
      </c>
    </row>
    <row r="74" spans="1:5" x14ac:dyDescent="0.3">
      <c r="C74" s="4" t="s">
        <v>0</v>
      </c>
      <c r="E74" s="2" t="s">
        <v>1</v>
      </c>
    </row>
    <row r="75" spans="1:5" x14ac:dyDescent="0.3">
      <c r="C75">
        <v>17</v>
      </c>
      <c r="E75" s="1">
        <f>VLOOKUP(C75,A1:L31,2,0)</f>
        <v>45676</v>
      </c>
    </row>
  </sheetData>
  <mergeCells count="2">
    <mergeCell ref="M49:O49"/>
    <mergeCell ref="M32:P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Vivek Patil</cp:lastModifiedBy>
  <dcterms:created xsi:type="dcterms:W3CDTF">2025-12-08T13:14:19Z</dcterms:created>
  <dcterms:modified xsi:type="dcterms:W3CDTF">2025-12-24T05:08:52Z</dcterms:modified>
</cp:coreProperties>
</file>