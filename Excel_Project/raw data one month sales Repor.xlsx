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Arbor\Excel\Pivot Table examples\"/>
    </mc:Choice>
  </mc:AlternateContent>
  <xr:revisionPtr revIDLastSave="0" documentId="13_ncr:1_{40D309A4-9E69-49F6-9E42-5AD85BFA2965}" xr6:coauthVersionLast="47" xr6:coauthVersionMax="47" xr10:uidLastSave="{00000000-0000-0000-0000-000000000000}"/>
  <bookViews>
    <workbookView xWindow="-108" yWindow="-108" windowWidth="23256" windowHeight="12456" activeTab="3" xr2:uid="{4EED6275-4ED2-429B-802C-0D2251694964}"/>
  </bookViews>
  <sheets>
    <sheet name="raw data one month sales Report" sheetId="1" r:id="rId1"/>
    <sheet name="KPI" sheetId="2" r:id="rId2"/>
    <sheet name="Chat" sheetId="3" r:id="rId3"/>
    <sheet name="full data" sheetId="4" r:id="rId4"/>
  </sheets>
  <definedNames>
    <definedName name="_xlchart.v5.0" hidden="1">Chat!$N$94</definedName>
    <definedName name="_xlchart.v5.1" hidden="1">Chat!$N$95:$N$106</definedName>
    <definedName name="_xlchart.v5.10" hidden="1">Chat!$O$94</definedName>
    <definedName name="_xlchart.v5.11" hidden="1">Chat!$O$95:$O$106</definedName>
    <definedName name="_xlchart.v5.2" hidden="1">Chat!$O$94</definedName>
    <definedName name="_xlchart.v5.3" hidden="1">Chat!$O$95:$O$106</definedName>
    <definedName name="_xlchart.v5.4" hidden="1">Chat!$N$94</definedName>
    <definedName name="_xlchart.v5.5" hidden="1">Chat!$N$95:$N$106</definedName>
    <definedName name="_xlchart.v5.6" hidden="1">Chat!$O$94</definedName>
    <definedName name="_xlchart.v5.7" hidden="1">Chat!$O$95:$O$106</definedName>
    <definedName name="_xlchart.v5.8" hidden="1">Chat!$N$94</definedName>
    <definedName name="_xlchart.v5.9" hidden="1">Chat!$N$95:$N$106</definedName>
    <definedName name="ExternalData_1" localSheetId="0" hidden="1">'raw data one month sales Report'!$A$1:$J$1304</definedName>
    <definedName name="Slicer_Date">#N/A</definedName>
    <definedName name="Slicer_Sales_Rep">#N/A</definedName>
    <definedName name="Slicer_State">#N/A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95" i="3" l="1"/>
  <c r="O95" i="3"/>
  <c r="N96" i="3"/>
  <c r="O96" i="3"/>
  <c r="N97" i="3"/>
  <c r="O97" i="3"/>
  <c r="N98" i="3"/>
  <c r="O98" i="3"/>
  <c r="N99" i="3"/>
  <c r="O99" i="3"/>
  <c r="N100" i="3"/>
  <c r="O100" i="3"/>
  <c r="N101" i="3"/>
  <c r="O101" i="3"/>
  <c r="N102" i="3"/>
  <c r="O102" i="3"/>
  <c r="N103" i="3"/>
  <c r="O103" i="3"/>
  <c r="N104" i="3"/>
  <c r="O104" i="3"/>
  <c r="N105" i="3"/>
  <c r="O105" i="3"/>
  <c r="N106" i="3"/>
  <c r="O106" i="3"/>
  <c r="C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A1F5CE-4524-4048-A0EE-A15C8D16D820}" keepAlive="1" name="Query - raw data one month sales Report" description="Connection to the 'raw data one month sales Report' query in the workbook." type="5" refreshedVersion="8" background="1" saveData="1">
    <dbPr connection="Provider=Microsoft.Mashup.OleDb.1;Data Source=$Workbook$;Location=&quot;raw data one month sales Report&quot;;Extended Properties=&quot;&quot;" command="SELECT * FROM [raw data one month sales Report]"/>
  </connection>
</connections>
</file>

<file path=xl/sharedStrings.xml><?xml version="1.0" encoding="utf-8"?>
<sst xmlns="http://schemas.openxmlformats.org/spreadsheetml/2006/main" count="5278" uniqueCount="1352">
  <si>
    <t>Order Id</t>
  </si>
  <si>
    <t>Date</t>
  </si>
  <si>
    <t>Item</t>
  </si>
  <si>
    <t>Sales Rep</t>
  </si>
  <si>
    <t>Quantity</t>
  </si>
  <si>
    <t>Price</t>
  </si>
  <si>
    <t>Total price</t>
  </si>
  <si>
    <t>Commission</t>
  </si>
  <si>
    <t>Total Commission</t>
  </si>
  <si>
    <t>State</t>
  </si>
  <si>
    <t>order id =1</t>
  </si>
  <si>
    <t>Printer</t>
  </si>
  <si>
    <t>John</t>
  </si>
  <si>
    <t>Meghalaya</t>
  </si>
  <si>
    <t>order id =2</t>
  </si>
  <si>
    <t>White Board</t>
  </si>
  <si>
    <t>Mark</t>
  </si>
  <si>
    <t>Uttar Pradesh</t>
  </si>
  <si>
    <t>order id =3</t>
  </si>
  <si>
    <t>Office Chair</t>
  </si>
  <si>
    <t>Maharashtra</t>
  </si>
  <si>
    <t>order id =4</t>
  </si>
  <si>
    <t>Delhi</t>
  </si>
  <si>
    <t>order id =5</t>
  </si>
  <si>
    <t>Laura</t>
  </si>
  <si>
    <t>West Bengal</t>
  </si>
  <si>
    <t>order id =6</t>
  </si>
  <si>
    <t>Stacey</t>
  </si>
  <si>
    <t>Bihar</t>
  </si>
  <si>
    <t>order id =7</t>
  </si>
  <si>
    <t>Diary</t>
  </si>
  <si>
    <t>Bob</t>
  </si>
  <si>
    <t>Goa</t>
  </si>
  <si>
    <t>order id =8</t>
  </si>
  <si>
    <t>Projector</t>
  </si>
  <si>
    <t>Karnataka</t>
  </si>
  <si>
    <t>order id =9</t>
  </si>
  <si>
    <t>Gujarat</t>
  </si>
  <si>
    <t>order id =10</t>
  </si>
  <si>
    <t>Jharkhand</t>
  </si>
  <si>
    <t>order id =11</t>
  </si>
  <si>
    <t>Haryana</t>
  </si>
  <si>
    <t>order id =12</t>
  </si>
  <si>
    <t>Kerala</t>
  </si>
  <si>
    <t>order id =13</t>
  </si>
  <si>
    <t>order id =14</t>
  </si>
  <si>
    <t>order id =15</t>
  </si>
  <si>
    <t>order id =16</t>
  </si>
  <si>
    <t>order id =17</t>
  </si>
  <si>
    <t>order id =18</t>
  </si>
  <si>
    <t>order id =19</t>
  </si>
  <si>
    <t>order id =20</t>
  </si>
  <si>
    <t>order id =21</t>
  </si>
  <si>
    <t>order id =22</t>
  </si>
  <si>
    <t>order id =23</t>
  </si>
  <si>
    <t>order id =24</t>
  </si>
  <si>
    <t>order id =25</t>
  </si>
  <si>
    <t>order id =26</t>
  </si>
  <si>
    <t>order id =27</t>
  </si>
  <si>
    <t>order id =28</t>
  </si>
  <si>
    <t>order id =29</t>
  </si>
  <si>
    <t>order id =30</t>
  </si>
  <si>
    <t>order id =31</t>
  </si>
  <si>
    <t>order id =32</t>
  </si>
  <si>
    <t>order id =33</t>
  </si>
  <si>
    <t>order id =34</t>
  </si>
  <si>
    <t>order id =35</t>
  </si>
  <si>
    <t>order id =36</t>
  </si>
  <si>
    <t>order id =37</t>
  </si>
  <si>
    <t>order id =38</t>
  </si>
  <si>
    <t>order id =39</t>
  </si>
  <si>
    <t>order id =40</t>
  </si>
  <si>
    <t>order id =41</t>
  </si>
  <si>
    <t>order id =42</t>
  </si>
  <si>
    <t>order id =43</t>
  </si>
  <si>
    <t>order id =44</t>
  </si>
  <si>
    <t>order id =45</t>
  </si>
  <si>
    <t>order id =46</t>
  </si>
  <si>
    <t>order id =47</t>
  </si>
  <si>
    <t>order id =48</t>
  </si>
  <si>
    <t>order id =49</t>
  </si>
  <si>
    <t>order id =50</t>
  </si>
  <si>
    <t>order id =51</t>
  </si>
  <si>
    <t>order id =52</t>
  </si>
  <si>
    <t>order id =53</t>
  </si>
  <si>
    <t>order id =54</t>
  </si>
  <si>
    <t>order id =55</t>
  </si>
  <si>
    <t>order id =56</t>
  </si>
  <si>
    <t>order id =57</t>
  </si>
  <si>
    <t>order id =58</t>
  </si>
  <si>
    <t>order id =59</t>
  </si>
  <si>
    <t>order id =60</t>
  </si>
  <si>
    <t>order id =61</t>
  </si>
  <si>
    <t>order id =62</t>
  </si>
  <si>
    <t>order id =63</t>
  </si>
  <si>
    <t>order id =64</t>
  </si>
  <si>
    <t>order id =65</t>
  </si>
  <si>
    <t>order id =66</t>
  </si>
  <si>
    <t>order id =67</t>
  </si>
  <si>
    <t>order id =68</t>
  </si>
  <si>
    <t>order id =69</t>
  </si>
  <si>
    <t>order id =70</t>
  </si>
  <si>
    <t>order id =71</t>
  </si>
  <si>
    <t>order id =72</t>
  </si>
  <si>
    <t>order id =73</t>
  </si>
  <si>
    <t>order id =74</t>
  </si>
  <si>
    <t>order id =75</t>
  </si>
  <si>
    <t>order id =76</t>
  </si>
  <si>
    <t>order id =77</t>
  </si>
  <si>
    <t>order id =78</t>
  </si>
  <si>
    <t>order id =79</t>
  </si>
  <si>
    <t>order id =80</t>
  </si>
  <si>
    <t>order id =81</t>
  </si>
  <si>
    <t>order id =82</t>
  </si>
  <si>
    <t>order id =83</t>
  </si>
  <si>
    <t>order id =84</t>
  </si>
  <si>
    <t>order id =85</t>
  </si>
  <si>
    <t>order id =86</t>
  </si>
  <si>
    <t>order id =87</t>
  </si>
  <si>
    <t>order id =88</t>
  </si>
  <si>
    <t>order id =89</t>
  </si>
  <si>
    <t>order id =90</t>
  </si>
  <si>
    <t>order id =91</t>
  </si>
  <si>
    <t>order id =92</t>
  </si>
  <si>
    <t>order id =93</t>
  </si>
  <si>
    <t>order id =94</t>
  </si>
  <si>
    <t>order id =95</t>
  </si>
  <si>
    <t>order id =96</t>
  </si>
  <si>
    <t>order id =97</t>
  </si>
  <si>
    <t>order id =98</t>
  </si>
  <si>
    <t>order id =99</t>
  </si>
  <si>
    <t>order id =100</t>
  </si>
  <si>
    <t>order id =101</t>
  </si>
  <si>
    <t>order id =102</t>
  </si>
  <si>
    <t>order id =103</t>
  </si>
  <si>
    <t>order id =104</t>
  </si>
  <si>
    <t>order id =105</t>
  </si>
  <si>
    <t>order id =106</t>
  </si>
  <si>
    <t>order id =107</t>
  </si>
  <si>
    <t>order id =108</t>
  </si>
  <si>
    <t>order id =109</t>
  </si>
  <si>
    <t>order id =110</t>
  </si>
  <si>
    <t>order id =111</t>
  </si>
  <si>
    <t>order id =112</t>
  </si>
  <si>
    <t>order id =113</t>
  </si>
  <si>
    <t>order id =114</t>
  </si>
  <si>
    <t>order id =115</t>
  </si>
  <si>
    <t>order id =116</t>
  </si>
  <si>
    <t>order id =117</t>
  </si>
  <si>
    <t>order id =118</t>
  </si>
  <si>
    <t>order id =119</t>
  </si>
  <si>
    <t>order id =120</t>
  </si>
  <si>
    <t>order id =121</t>
  </si>
  <si>
    <t>order id =122</t>
  </si>
  <si>
    <t>order id =123</t>
  </si>
  <si>
    <t>order id =124</t>
  </si>
  <si>
    <t>order id =125</t>
  </si>
  <si>
    <t>order id =126</t>
  </si>
  <si>
    <t>order id =127</t>
  </si>
  <si>
    <t>order id =128</t>
  </si>
  <si>
    <t>order id =129</t>
  </si>
  <si>
    <t>order id =130</t>
  </si>
  <si>
    <t>order id =131</t>
  </si>
  <si>
    <t>order id =132</t>
  </si>
  <si>
    <t>order id =133</t>
  </si>
  <si>
    <t>order id =134</t>
  </si>
  <si>
    <t>order id =135</t>
  </si>
  <si>
    <t>order id =136</t>
  </si>
  <si>
    <t>order id =137</t>
  </si>
  <si>
    <t>order id =138</t>
  </si>
  <si>
    <t>order id =139</t>
  </si>
  <si>
    <t>order id =140</t>
  </si>
  <si>
    <t>order id =141</t>
  </si>
  <si>
    <t>order id =142</t>
  </si>
  <si>
    <t>order id =143</t>
  </si>
  <si>
    <t>order id =144</t>
  </si>
  <si>
    <t>order id =145</t>
  </si>
  <si>
    <t>order id =146</t>
  </si>
  <si>
    <t>order id =147</t>
  </si>
  <si>
    <t>order id =148</t>
  </si>
  <si>
    <t>order id =149</t>
  </si>
  <si>
    <t>order id =150</t>
  </si>
  <si>
    <t>order id =151</t>
  </si>
  <si>
    <t>order id =152</t>
  </si>
  <si>
    <t>order id =153</t>
  </si>
  <si>
    <t>order id =154</t>
  </si>
  <si>
    <t>order id =155</t>
  </si>
  <si>
    <t>order id =156</t>
  </si>
  <si>
    <t>order id =157</t>
  </si>
  <si>
    <t>order id =158</t>
  </si>
  <si>
    <t>order id =159</t>
  </si>
  <si>
    <t>order id =160</t>
  </si>
  <si>
    <t>order id =161</t>
  </si>
  <si>
    <t>order id =162</t>
  </si>
  <si>
    <t>order id =163</t>
  </si>
  <si>
    <t>order id =164</t>
  </si>
  <si>
    <t>order id =165</t>
  </si>
  <si>
    <t>order id =166</t>
  </si>
  <si>
    <t>order id =167</t>
  </si>
  <si>
    <t>order id =168</t>
  </si>
  <si>
    <t>order id =169</t>
  </si>
  <si>
    <t>order id =170</t>
  </si>
  <si>
    <t>order id =171</t>
  </si>
  <si>
    <t>order id =172</t>
  </si>
  <si>
    <t>order id =173</t>
  </si>
  <si>
    <t>order id =174</t>
  </si>
  <si>
    <t>order id =175</t>
  </si>
  <si>
    <t>order id =176</t>
  </si>
  <si>
    <t>order id =177</t>
  </si>
  <si>
    <t>order id =178</t>
  </si>
  <si>
    <t>order id =179</t>
  </si>
  <si>
    <t>order id =180</t>
  </si>
  <si>
    <t>order id =181</t>
  </si>
  <si>
    <t>order id =182</t>
  </si>
  <si>
    <t>order id =183</t>
  </si>
  <si>
    <t>order id =184</t>
  </si>
  <si>
    <t>order id =185</t>
  </si>
  <si>
    <t>order id =186</t>
  </si>
  <si>
    <t>order id =187</t>
  </si>
  <si>
    <t>order id =188</t>
  </si>
  <si>
    <t>order id =189</t>
  </si>
  <si>
    <t>order id =190</t>
  </si>
  <si>
    <t>order id =191</t>
  </si>
  <si>
    <t>order id =192</t>
  </si>
  <si>
    <t>order id =193</t>
  </si>
  <si>
    <t>order id =194</t>
  </si>
  <si>
    <t>order id =195</t>
  </si>
  <si>
    <t>order id =196</t>
  </si>
  <si>
    <t>order id =197</t>
  </si>
  <si>
    <t>order id =198</t>
  </si>
  <si>
    <t>order id =199</t>
  </si>
  <si>
    <t>order id =200</t>
  </si>
  <si>
    <t>order id =201</t>
  </si>
  <si>
    <t>order id =202</t>
  </si>
  <si>
    <t>order id =203</t>
  </si>
  <si>
    <t>order id =204</t>
  </si>
  <si>
    <t>order id =205</t>
  </si>
  <si>
    <t>order id =206</t>
  </si>
  <si>
    <t>order id =207</t>
  </si>
  <si>
    <t>order id =208</t>
  </si>
  <si>
    <t>order id =209</t>
  </si>
  <si>
    <t>order id =210</t>
  </si>
  <si>
    <t>order id =211</t>
  </si>
  <si>
    <t>order id =212</t>
  </si>
  <si>
    <t>order id =213</t>
  </si>
  <si>
    <t>order id =214</t>
  </si>
  <si>
    <t>order id =215</t>
  </si>
  <si>
    <t>order id =216</t>
  </si>
  <si>
    <t>order id =217</t>
  </si>
  <si>
    <t>order id =218</t>
  </si>
  <si>
    <t>order id =219</t>
  </si>
  <si>
    <t>order id =220</t>
  </si>
  <si>
    <t>order id =221</t>
  </si>
  <si>
    <t>order id =222</t>
  </si>
  <si>
    <t>order id =223</t>
  </si>
  <si>
    <t>order id =224</t>
  </si>
  <si>
    <t>order id =225</t>
  </si>
  <si>
    <t>order id =226</t>
  </si>
  <si>
    <t>order id =227</t>
  </si>
  <si>
    <t>order id =228</t>
  </si>
  <si>
    <t>order id =229</t>
  </si>
  <si>
    <t>order id =230</t>
  </si>
  <si>
    <t>order id =231</t>
  </si>
  <si>
    <t>order id =232</t>
  </si>
  <si>
    <t>order id =233</t>
  </si>
  <si>
    <t>order id =234</t>
  </si>
  <si>
    <t>order id =235</t>
  </si>
  <si>
    <t>order id =236</t>
  </si>
  <si>
    <t>order id =237</t>
  </si>
  <si>
    <t>order id =238</t>
  </si>
  <si>
    <t>order id =239</t>
  </si>
  <si>
    <t>order id =240</t>
  </si>
  <si>
    <t>order id =241</t>
  </si>
  <si>
    <t>order id =242</t>
  </si>
  <si>
    <t>order id =243</t>
  </si>
  <si>
    <t>order id =244</t>
  </si>
  <si>
    <t>order id =245</t>
  </si>
  <si>
    <t>order id =246</t>
  </si>
  <si>
    <t>order id =247</t>
  </si>
  <si>
    <t>order id =248</t>
  </si>
  <si>
    <t>order id =249</t>
  </si>
  <si>
    <t>order id =250</t>
  </si>
  <si>
    <t>order id =251</t>
  </si>
  <si>
    <t>order id =252</t>
  </si>
  <si>
    <t>order id =253</t>
  </si>
  <si>
    <t>order id =254</t>
  </si>
  <si>
    <t>order id =255</t>
  </si>
  <si>
    <t>order id =256</t>
  </si>
  <si>
    <t>order id =257</t>
  </si>
  <si>
    <t>order id =258</t>
  </si>
  <si>
    <t>order id =259</t>
  </si>
  <si>
    <t>order id =260</t>
  </si>
  <si>
    <t>order id =261</t>
  </si>
  <si>
    <t>order id =262</t>
  </si>
  <si>
    <t>order id =263</t>
  </si>
  <si>
    <t>order id =264</t>
  </si>
  <si>
    <t>order id =265</t>
  </si>
  <si>
    <t>order id =266</t>
  </si>
  <si>
    <t>order id =267</t>
  </si>
  <si>
    <t>order id =268</t>
  </si>
  <si>
    <t>order id =269</t>
  </si>
  <si>
    <t>order id =270</t>
  </si>
  <si>
    <t>order id =271</t>
  </si>
  <si>
    <t>order id =272</t>
  </si>
  <si>
    <t>order id =273</t>
  </si>
  <si>
    <t>order id =274</t>
  </si>
  <si>
    <t>order id =275</t>
  </si>
  <si>
    <t>order id =276</t>
  </si>
  <si>
    <t>order id =277</t>
  </si>
  <si>
    <t>order id =278</t>
  </si>
  <si>
    <t>order id =279</t>
  </si>
  <si>
    <t>order id =280</t>
  </si>
  <si>
    <t>order id =281</t>
  </si>
  <si>
    <t>order id =282</t>
  </si>
  <si>
    <t>order id =283</t>
  </si>
  <si>
    <t>order id =284</t>
  </si>
  <si>
    <t>order id =285</t>
  </si>
  <si>
    <t>order id =286</t>
  </si>
  <si>
    <t>order id =287</t>
  </si>
  <si>
    <t>order id =288</t>
  </si>
  <si>
    <t>order id =289</t>
  </si>
  <si>
    <t>order id =290</t>
  </si>
  <si>
    <t>order id =291</t>
  </si>
  <si>
    <t>order id =292</t>
  </si>
  <si>
    <t>order id =293</t>
  </si>
  <si>
    <t>order id =294</t>
  </si>
  <si>
    <t>order id =295</t>
  </si>
  <si>
    <t>order id =296</t>
  </si>
  <si>
    <t>order id =297</t>
  </si>
  <si>
    <t>order id =298</t>
  </si>
  <si>
    <t>order id =299</t>
  </si>
  <si>
    <t>order id =300</t>
  </si>
  <si>
    <t>order id =301</t>
  </si>
  <si>
    <t>order id =302</t>
  </si>
  <si>
    <t>order id =303</t>
  </si>
  <si>
    <t>order id =304</t>
  </si>
  <si>
    <t>order id =305</t>
  </si>
  <si>
    <t>order id =306</t>
  </si>
  <si>
    <t>order id =307</t>
  </si>
  <si>
    <t>order id =308</t>
  </si>
  <si>
    <t>order id =309</t>
  </si>
  <si>
    <t>order id =310</t>
  </si>
  <si>
    <t>order id =311</t>
  </si>
  <si>
    <t>order id =312</t>
  </si>
  <si>
    <t>order id =313</t>
  </si>
  <si>
    <t>order id =314</t>
  </si>
  <si>
    <t>order id =315</t>
  </si>
  <si>
    <t>order id =316</t>
  </si>
  <si>
    <t>order id =317</t>
  </si>
  <si>
    <t>order id =318</t>
  </si>
  <si>
    <t>order id =319</t>
  </si>
  <si>
    <t>order id =320</t>
  </si>
  <si>
    <t>order id =321</t>
  </si>
  <si>
    <t>order id =322</t>
  </si>
  <si>
    <t>order id =323</t>
  </si>
  <si>
    <t>order id =324</t>
  </si>
  <si>
    <t>order id =325</t>
  </si>
  <si>
    <t>order id =326</t>
  </si>
  <si>
    <t>order id =327</t>
  </si>
  <si>
    <t>order id =328</t>
  </si>
  <si>
    <t>order id =329</t>
  </si>
  <si>
    <t>order id =330</t>
  </si>
  <si>
    <t>order id =331</t>
  </si>
  <si>
    <t>order id =332</t>
  </si>
  <si>
    <t>order id =333</t>
  </si>
  <si>
    <t>order id =334</t>
  </si>
  <si>
    <t>order id =335</t>
  </si>
  <si>
    <t>order id =336</t>
  </si>
  <si>
    <t>order id =337</t>
  </si>
  <si>
    <t>order id =338</t>
  </si>
  <si>
    <t>order id =339</t>
  </si>
  <si>
    <t>order id =340</t>
  </si>
  <si>
    <t>order id =341</t>
  </si>
  <si>
    <t>order id =342</t>
  </si>
  <si>
    <t>order id =343</t>
  </si>
  <si>
    <t>order id =344</t>
  </si>
  <si>
    <t>order id =345</t>
  </si>
  <si>
    <t>order id =346</t>
  </si>
  <si>
    <t>order id =347</t>
  </si>
  <si>
    <t>order id =348</t>
  </si>
  <si>
    <t>order id =349</t>
  </si>
  <si>
    <t>order id =350</t>
  </si>
  <si>
    <t>order id =351</t>
  </si>
  <si>
    <t>order id =352</t>
  </si>
  <si>
    <t>order id =353</t>
  </si>
  <si>
    <t>order id =354</t>
  </si>
  <si>
    <t>order id =355</t>
  </si>
  <si>
    <t>order id =356</t>
  </si>
  <si>
    <t>order id =357</t>
  </si>
  <si>
    <t>order id =358</t>
  </si>
  <si>
    <t>order id =359</t>
  </si>
  <si>
    <t>order id =360</t>
  </si>
  <si>
    <t>order id =361</t>
  </si>
  <si>
    <t>order id =362</t>
  </si>
  <si>
    <t>order id =363</t>
  </si>
  <si>
    <t>order id =364</t>
  </si>
  <si>
    <t>order id =365</t>
  </si>
  <si>
    <t>order id =366</t>
  </si>
  <si>
    <t>order id =367</t>
  </si>
  <si>
    <t>order id =368</t>
  </si>
  <si>
    <t>order id =369</t>
  </si>
  <si>
    <t>order id =370</t>
  </si>
  <si>
    <t>order id =371</t>
  </si>
  <si>
    <t>order id =372</t>
  </si>
  <si>
    <t>order id =373</t>
  </si>
  <si>
    <t>order id =374</t>
  </si>
  <si>
    <t>order id =375</t>
  </si>
  <si>
    <t>order id =376</t>
  </si>
  <si>
    <t>order id =377</t>
  </si>
  <si>
    <t>order id =378</t>
  </si>
  <si>
    <t>order id =379</t>
  </si>
  <si>
    <t>order id =380</t>
  </si>
  <si>
    <t>order id =381</t>
  </si>
  <si>
    <t>order id =382</t>
  </si>
  <si>
    <t>order id =383</t>
  </si>
  <si>
    <t>order id =384</t>
  </si>
  <si>
    <t>order id =385</t>
  </si>
  <si>
    <t>order id =386</t>
  </si>
  <si>
    <t>order id =387</t>
  </si>
  <si>
    <t>order id =388</t>
  </si>
  <si>
    <t>order id =389</t>
  </si>
  <si>
    <t>order id =390</t>
  </si>
  <si>
    <t>order id =391</t>
  </si>
  <si>
    <t>order id =392</t>
  </si>
  <si>
    <t>order id =393</t>
  </si>
  <si>
    <t>order id =394</t>
  </si>
  <si>
    <t>order id =395</t>
  </si>
  <si>
    <t>order id =396</t>
  </si>
  <si>
    <t>order id =397</t>
  </si>
  <si>
    <t>order id =398</t>
  </si>
  <si>
    <t>order id =399</t>
  </si>
  <si>
    <t>order id =400</t>
  </si>
  <si>
    <t>order id =401</t>
  </si>
  <si>
    <t>order id =402</t>
  </si>
  <si>
    <t>order id =403</t>
  </si>
  <si>
    <t>order id =404</t>
  </si>
  <si>
    <t>order id =405</t>
  </si>
  <si>
    <t>order id =406</t>
  </si>
  <si>
    <t>order id =407</t>
  </si>
  <si>
    <t>order id =408</t>
  </si>
  <si>
    <t>order id =409</t>
  </si>
  <si>
    <t>order id =410</t>
  </si>
  <si>
    <t>order id =411</t>
  </si>
  <si>
    <t>order id =412</t>
  </si>
  <si>
    <t>order id =413</t>
  </si>
  <si>
    <t>order id =414</t>
  </si>
  <si>
    <t>order id =415</t>
  </si>
  <si>
    <t>order id =416</t>
  </si>
  <si>
    <t>order id =417</t>
  </si>
  <si>
    <t>order id =418</t>
  </si>
  <si>
    <t>order id =419</t>
  </si>
  <si>
    <t>order id =420</t>
  </si>
  <si>
    <t>order id =421</t>
  </si>
  <si>
    <t>order id =422</t>
  </si>
  <si>
    <t>order id =423</t>
  </si>
  <si>
    <t>order id =424</t>
  </si>
  <si>
    <t>order id =425</t>
  </si>
  <si>
    <t>order id =426</t>
  </si>
  <si>
    <t>order id =427</t>
  </si>
  <si>
    <t>order id =428</t>
  </si>
  <si>
    <t>order id =429</t>
  </si>
  <si>
    <t>order id =430</t>
  </si>
  <si>
    <t>order id =431</t>
  </si>
  <si>
    <t>order id =432</t>
  </si>
  <si>
    <t>order id =433</t>
  </si>
  <si>
    <t>order id =434</t>
  </si>
  <si>
    <t>order id =435</t>
  </si>
  <si>
    <t>order id =436</t>
  </si>
  <si>
    <t>order id =437</t>
  </si>
  <si>
    <t>order id =438</t>
  </si>
  <si>
    <t>order id =439</t>
  </si>
  <si>
    <t>order id =440</t>
  </si>
  <si>
    <t>order id =441</t>
  </si>
  <si>
    <t>order id =442</t>
  </si>
  <si>
    <t>order id =443</t>
  </si>
  <si>
    <t>order id =444</t>
  </si>
  <si>
    <t>order id =445</t>
  </si>
  <si>
    <t>order id =446</t>
  </si>
  <si>
    <t>order id =447</t>
  </si>
  <si>
    <t>order id =448</t>
  </si>
  <si>
    <t>order id =449</t>
  </si>
  <si>
    <t>order id =450</t>
  </si>
  <si>
    <t>order id =451</t>
  </si>
  <si>
    <t>order id =452</t>
  </si>
  <si>
    <t>order id =453</t>
  </si>
  <si>
    <t>order id =454</t>
  </si>
  <si>
    <t>order id =455</t>
  </si>
  <si>
    <t>order id =456</t>
  </si>
  <si>
    <t>order id =457</t>
  </si>
  <si>
    <t>order id =458</t>
  </si>
  <si>
    <t>order id =459</t>
  </si>
  <si>
    <t>order id =460</t>
  </si>
  <si>
    <t>order id =461</t>
  </si>
  <si>
    <t>order id =462</t>
  </si>
  <si>
    <t>order id =463</t>
  </si>
  <si>
    <t>order id =464</t>
  </si>
  <si>
    <t>order id =465</t>
  </si>
  <si>
    <t>order id =466</t>
  </si>
  <si>
    <t>order id =467</t>
  </si>
  <si>
    <t>order id =468</t>
  </si>
  <si>
    <t>order id =469</t>
  </si>
  <si>
    <t>order id =470</t>
  </si>
  <si>
    <t>order id =471</t>
  </si>
  <si>
    <t>order id =472</t>
  </si>
  <si>
    <t>order id =473</t>
  </si>
  <si>
    <t>order id =474</t>
  </si>
  <si>
    <t>order id =475</t>
  </si>
  <si>
    <t>order id =476</t>
  </si>
  <si>
    <t>order id =477</t>
  </si>
  <si>
    <t>order id =478</t>
  </si>
  <si>
    <t>order id =479</t>
  </si>
  <si>
    <t>order id =480</t>
  </si>
  <si>
    <t>order id =481</t>
  </si>
  <si>
    <t>order id =482</t>
  </si>
  <si>
    <t>order id =483</t>
  </si>
  <si>
    <t>order id =484</t>
  </si>
  <si>
    <t>order id =485</t>
  </si>
  <si>
    <t>order id =486</t>
  </si>
  <si>
    <t>order id =487</t>
  </si>
  <si>
    <t>order id =488</t>
  </si>
  <si>
    <t>order id =489</t>
  </si>
  <si>
    <t>order id =490</t>
  </si>
  <si>
    <t>order id =491</t>
  </si>
  <si>
    <t>order id =492</t>
  </si>
  <si>
    <t>order id =493</t>
  </si>
  <si>
    <t>order id =494</t>
  </si>
  <si>
    <t>order id =495</t>
  </si>
  <si>
    <t>order id =496</t>
  </si>
  <si>
    <t>order id =497</t>
  </si>
  <si>
    <t>order id =498</t>
  </si>
  <si>
    <t>order id =499</t>
  </si>
  <si>
    <t>order id =500</t>
  </si>
  <si>
    <t>order id =501</t>
  </si>
  <si>
    <t>order id =502</t>
  </si>
  <si>
    <t>order id =503</t>
  </si>
  <si>
    <t>order id =504</t>
  </si>
  <si>
    <t>order id =505</t>
  </si>
  <si>
    <t>order id =506</t>
  </si>
  <si>
    <t>order id =507</t>
  </si>
  <si>
    <t>order id =508</t>
  </si>
  <si>
    <t>order id =509</t>
  </si>
  <si>
    <t>order id =510</t>
  </si>
  <si>
    <t>order id =511</t>
  </si>
  <si>
    <t>order id =512</t>
  </si>
  <si>
    <t>order id =513</t>
  </si>
  <si>
    <t>order id =514</t>
  </si>
  <si>
    <t>order id =515</t>
  </si>
  <si>
    <t>order id =516</t>
  </si>
  <si>
    <t>order id =517</t>
  </si>
  <si>
    <t>order id =518</t>
  </si>
  <si>
    <t>order id =519</t>
  </si>
  <si>
    <t>order id =520</t>
  </si>
  <si>
    <t>order id =521</t>
  </si>
  <si>
    <t>order id =522</t>
  </si>
  <si>
    <t>order id =523</t>
  </si>
  <si>
    <t>order id =524</t>
  </si>
  <si>
    <t>order id =525</t>
  </si>
  <si>
    <t>order id =526</t>
  </si>
  <si>
    <t>order id =527</t>
  </si>
  <si>
    <t>order id =528</t>
  </si>
  <si>
    <t>order id =529</t>
  </si>
  <si>
    <t>order id =530</t>
  </si>
  <si>
    <t>order id =531</t>
  </si>
  <si>
    <t>order id =532</t>
  </si>
  <si>
    <t>order id =533</t>
  </si>
  <si>
    <t>order id =534</t>
  </si>
  <si>
    <t>order id =535</t>
  </si>
  <si>
    <t>order id =536</t>
  </si>
  <si>
    <t>order id =537</t>
  </si>
  <si>
    <t>order id =538</t>
  </si>
  <si>
    <t>order id =539</t>
  </si>
  <si>
    <t>order id =540</t>
  </si>
  <si>
    <t>order id =541</t>
  </si>
  <si>
    <t>order id =542</t>
  </si>
  <si>
    <t>order id =543</t>
  </si>
  <si>
    <t>order id =544</t>
  </si>
  <si>
    <t>order id =545</t>
  </si>
  <si>
    <t>order id =546</t>
  </si>
  <si>
    <t>order id =547</t>
  </si>
  <si>
    <t>order id =548</t>
  </si>
  <si>
    <t>order id =549</t>
  </si>
  <si>
    <t>order id =550</t>
  </si>
  <si>
    <t>order id =551</t>
  </si>
  <si>
    <t>order id =552</t>
  </si>
  <si>
    <t>order id =553</t>
  </si>
  <si>
    <t>order id =554</t>
  </si>
  <si>
    <t>order id =555</t>
  </si>
  <si>
    <t>order id =556</t>
  </si>
  <si>
    <t>order id =557</t>
  </si>
  <si>
    <t>order id =558</t>
  </si>
  <si>
    <t>order id =559</t>
  </si>
  <si>
    <t>order id =560</t>
  </si>
  <si>
    <t>order id =561</t>
  </si>
  <si>
    <t>order id =562</t>
  </si>
  <si>
    <t>order id =563</t>
  </si>
  <si>
    <t>order id =564</t>
  </si>
  <si>
    <t>order id =565</t>
  </si>
  <si>
    <t>order id =566</t>
  </si>
  <si>
    <t>order id =567</t>
  </si>
  <si>
    <t>order id =568</t>
  </si>
  <si>
    <t>order id =569</t>
  </si>
  <si>
    <t>order id =570</t>
  </si>
  <si>
    <t>order id =571</t>
  </si>
  <si>
    <t>order id =572</t>
  </si>
  <si>
    <t>order id =573</t>
  </si>
  <si>
    <t>order id =574</t>
  </si>
  <si>
    <t>order id =575</t>
  </si>
  <si>
    <t>order id =576</t>
  </si>
  <si>
    <t>order id =577</t>
  </si>
  <si>
    <t>order id =578</t>
  </si>
  <si>
    <t>order id =579</t>
  </si>
  <si>
    <t>order id =580</t>
  </si>
  <si>
    <t>order id =581</t>
  </si>
  <si>
    <t>order id =582</t>
  </si>
  <si>
    <t>order id =583</t>
  </si>
  <si>
    <t>order id =584</t>
  </si>
  <si>
    <t>order id =585</t>
  </si>
  <si>
    <t>order id =586</t>
  </si>
  <si>
    <t>order id =587</t>
  </si>
  <si>
    <t>order id =588</t>
  </si>
  <si>
    <t>order id =589</t>
  </si>
  <si>
    <t>order id =590</t>
  </si>
  <si>
    <t>order id =591</t>
  </si>
  <si>
    <t>order id =592</t>
  </si>
  <si>
    <t>order id =593</t>
  </si>
  <si>
    <t>order id =594</t>
  </si>
  <si>
    <t>order id =595</t>
  </si>
  <si>
    <t>order id =596</t>
  </si>
  <si>
    <t>order id =597</t>
  </si>
  <si>
    <t>order id =598</t>
  </si>
  <si>
    <t>order id =599</t>
  </si>
  <si>
    <t>order id =600</t>
  </si>
  <si>
    <t>order id =601</t>
  </si>
  <si>
    <t>order id =602</t>
  </si>
  <si>
    <t>order id =603</t>
  </si>
  <si>
    <t>order id =604</t>
  </si>
  <si>
    <t>order id =605</t>
  </si>
  <si>
    <t>order id =606</t>
  </si>
  <si>
    <t>order id =607</t>
  </si>
  <si>
    <t>order id =608</t>
  </si>
  <si>
    <t>order id =609</t>
  </si>
  <si>
    <t>order id =610</t>
  </si>
  <si>
    <t>order id =611</t>
  </si>
  <si>
    <t>order id =612</t>
  </si>
  <si>
    <t>order id =613</t>
  </si>
  <si>
    <t>order id =614</t>
  </si>
  <si>
    <t>order id =615</t>
  </si>
  <si>
    <t>order id =616</t>
  </si>
  <si>
    <t>order id =617</t>
  </si>
  <si>
    <t>order id =618</t>
  </si>
  <si>
    <t>order id =619</t>
  </si>
  <si>
    <t>order id =620</t>
  </si>
  <si>
    <t>order id =621</t>
  </si>
  <si>
    <t>order id =622</t>
  </si>
  <si>
    <t>order id =623</t>
  </si>
  <si>
    <t>order id =624</t>
  </si>
  <si>
    <t>order id =625</t>
  </si>
  <si>
    <t>order id =626</t>
  </si>
  <si>
    <t>order id =627</t>
  </si>
  <si>
    <t>order id =628</t>
  </si>
  <si>
    <t>order id =629</t>
  </si>
  <si>
    <t>order id =630</t>
  </si>
  <si>
    <t>order id =631</t>
  </si>
  <si>
    <t>order id =632</t>
  </si>
  <si>
    <t>order id =633</t>
  </si>
  <si>
    <t>order id =634</t>
  </si>
  <si>
    <t>order id =635</t>
  </si>
  <si>
    <t>order id =636</t>
  </si>
  <si>
    <t>order id =637</t>
  </si>
  <si>
    <t>order id =638</t>
  </si>
  <si>
    <t>order id =639</t>
  </si>
  <si>
    <t>order id =640</t>
  </si>
  <si>
    <t>order id =641</t>
  </si>
  <si>
    <t>order id =642</t>
  </si>
  <si>
    <t>order id =643</t>
  </si>
  <si>
    <t>order id =644</t>
  </si>
  <si>
    <t>order id =645</t>
  </si>
  <si>
    <t>order id =646</t>
  </si>
  <si>
    <t>order id =647</t>
  </si>
  <si>
    <t>order id =648</t>
  </si>
  <si>
    <t>order id =649</t>
  </si>
  <si>
    <t>order id =650</t>
  </si>
  <si>
    <t>order id =651</t>
  </si>
  <si>
    <t>order id =652</t>
  </si>
  <si>
    <t>order id =653</t>
  </si>
  <si>
    <t>order id =654</t>
  </si>
  <si>
    <t>order id =655</t>
  </si>
  <si>
    <t>order id =656</t>
  </si>
  <si>
    <t>order id =657</t>
  </si>
  <si>
    <t>order id =658</t>
  </si>
  <si>
    <t>order id =659</t>
  </si>
  <si>
    <t>order id =660</t>
  </si>
  <si>
    <t>order id =661</t>
  </si>
  <si>
    <t>order id =662</t>
  </si>
  <si>
    <t>order id =663</t>
  </si>
  <si>
    <t>order id =664</t>
  </si>
  <si>
    <t>order id =665</t>
  </si>
  <si>
    <t>order id =666</t>
  </si>
  <si>
    <t>order id =667</t>
  </si>
  <si>
    <t>order id =668</t>
  </si>
  <si>
    <t>order id =669</t>
  </si>
  <si>
    <t>order id =670</t>
  </si>
  <si>
    <t>order id =671</t>
  </si>
  <si>
    <t>order id =672</t>
  </si>
  <si>
    <t>order id =673</t>
  </si>
  <si>
    <t>order id =674</t>
  </si>
  <si>
    <t>order id =675</t>
  </si>
  <si>
    <t>order id =676</t>
  </si>
  <si>
    <t>order id =677</t>
  </si>
  <si>
    <t>order id =678</t>
  </si>
  <si>
    <t>order id =679</t>
  </si>
  <si>
    <t>order id =680</t>
  </si>
  <si>
    <t>order id =681</t>
  </si>
  <si>
    <t>order id =682</t>
  </si>
  <si>
    <t>order id =683</t>
  </si>
  <si>
    <t>order id =684</t>
  </si>
  <si>
    <t>order id =685</t>
  </si>
  <si>
    <t>order id =686</t>
  </si>
  <si>
    <t>order id =687</t>
  </si>
  <si>
    <t>order id =688</t>
  </si>
  <si>
    <t>order id =689</t>
  </si>
  <si>
    <t>order id =690</t>
  </si>
  <si>
    <t>order id =691</t>
  </si>
  <si>
    <t>order id =692</t>
  </si>
  <si>
    <t>order id =693</t>
  </si>
  <si>
    <t>order id =694</t>
  </si>
  <si>
    <t>order id =695</t>
  </si>
  <si>
    <t>order id =696</t>
  </si>
  <si>
    <t>order id =697</t>
  </si>
  <si>
    <t>order id =698</t>
  </si>
  <si>
    <t>order id =699</t>
  </si>
  <si>
    <t>order id =700</t>
  </si>
  <si>
    <t>order id =701</t>
  </si>
  <si>
    <t>order id =702</t>
  </si>
  <si>
    <t>order id =703</t>
  </si>
  <si>
    <t>order id =704</t>
  </si>
  <si>
    <t>order id =705</t>
  </si>
  <si>
    <t>order id =706</t>
  </si>
  <si>
    <t>order id =707</t>
  </si>
  <si>
    <t>order id =708</t>
  </si>
  <si>
    <t>order id =709</t>
  </si>
  <si>
    <t>order id =710</t>
  </si>
  <si>
    <t>order id =711</t>
  </si>
  <si>
    <t>order id =712</t>
  </si>
  <si>
    <t>order id =713</t>
  </si>
  <si>
    <t>order id =714</t>
  </si>
  <si>
    <t>order id =715</t>
  </si>
  <si>
    <t>order id =716</t>
  </si>
  <si>
    <t>order id =717</t>
  </si>
  <si>
    <t>order id =718</t>
  </si>
  <si>
    <t>order id =719</t>
  </si>
  <si>
    <t>order id =720</t>
  </si>
  <si>
    <t>order id =721</t>
  </si>
  <si>
    <t>order id =722</t>
  </si>
  <si>
    <t>order id =723</t>
  </si>
  <si>
    <t>order id =724</t>
  </si>
  <si>
    <t>order id =725</t>
  </si>
  <si>
    <t>order id =726</t>
  </si>
  <si>
    <t>order id =727</t>
  </si>
  <si>
    <t>order id =728</t>
  </si>
  <si>
    <t>order id =729</t>
  </si>
  <si>
    <t>order id =730</t>
  </si>
  <si>
    <t>order id =731</t>
  </si>
  <si>
    <t>order id =732</t>
  </si>
  <si>
    <t>order id =733</t>
  </si>
  <si>
    <t>order id =734</t>
  </si>
  <si>
    <t>order id =735</t>
  </si>
  <si>
    <t>order id =736</t>
  </si>
  <si>
    <t>order id =737</t>
  </si>
  <si>
    <t>order id =738</t>
  </si>
  <si>
    <t>order id =739</t>
  </si>
  <si>
    <t>order id =740</t>
  </si>
  <si>
    <t>order id =741</t>
  </si>
  <si>
    <t>order id =742</t>
  </si>
  <si>
    <t>order id =743</t>
  </si>
  <si>
    <t>order id =744</t>
  </si>
  <si>
    <t>order id =745</t>
  </si>
  <si>
    <t>order id =746</t>
  </si>
  <si>
    <t>order id =747</t>
  </si>
  <si>
    <t>order id =748</t>
  </si>
  <si>
    <t>order id =749</t>
  </si>
  <si>
    <t>order id =750</t>
  </si>
  <si>
    <t>order id =751</t>
  </si>
  <si>
    <t>order id =752</t>
  </si>
  <si>
    <t>order id =753</t>
  </si>
  <si>
    <t>order id =754</t>
  </si>
  <si>
    <t>order id =755</t>
  </si>
  <si>
    <t>order id =756</t>
  </si>
  <si>
    <t>order id =757</t>
  </si>
  <si>
    <t>order id =758</t>
  </si>
  <si>
    <t>order id =759</t>
  </si>
  <si>
    <t>order id =760</t>
  </si>
  <si>
    <t>order id =761</t>
  </si>
  <si>
    <t>order id =762</t>
  </si>
  <si>
    <t>order id =763</t>
  </si>
  <si>
    <t>order id =764</t>
  </si>
  <si>
    <t>order id =765</t>
  </si>
  <si>
    <t>order id =766</t>
  </si>
  <si>
    <t>order id =767</t>
  </si>
  <si>
    <t>order id =768</t>
  </si>
  <si>
    <t>order id =769</t>
  </si>
  <si>
    <t>order id =770</t>
  </si>
  <si>
    <t>order id =771</t>
  </si>
  <si>
    <t>order id =772</t>
  </si>
  <si>
    <t>order id =773</t>
  </si>
  <si>
    <t>order id =774</t>
  </si>
  <si>
    <t>order id =775</t>
  </si>
  <si>
    <t>order id =776</t>
  </si>
  <si>
    <t>order id =777</t>
  </si>
  <si>
    <t>order id =778</t>
  </si>
  <si>
    <t>order id =779</t>
  </si>
  <si>
    <t>order id =780</t>
  </si>
  <si>
    <t>order id =781</t>
  </si>
  <si>
    <t>order id =782</t>
  </si>
  <si>
    <t>order id =783</t>
  </si>
  <si>
    <t>order id =784</t>
  </si>
  <si>
    <t>order id =785</t>
  </si>
  <si>
    <t>order id =786</t>
  </si>
  <si>
    <t>order id =787</t>
  </si>
  <si>
    <t>order id =788</t>
  </si>
  <si>
    <t>order id =789</t>
  </si>
  <si>
    <t>order id =790</t>
  </si>
  <si>
    <t>order id =791</t>
  </si>
  <si>
    <t>order id =792</t>
  </si>
  <si>
    <t>order id =793</t>
  </si>
  <si>
    <t>order id =794</t>
  </si>
  <si>
    <t>order id =795</t>
  </si>
  <si>
    <t>order id =796</t>
  </si>
  <si>
    <t>order id =797</t>
  </si>
  <si>
    <t>order id =798</t>
  </si>
  <si>
    <t>order id =799</t>
  </si>
  <si>
    <t>order id =800</t>
  </si>
  <si>
    <t>order id =801</t>
  </si>
  <si>
    <t>order id =802</t>
  </si>
  <si>
    <t>order id =803</t>
  </si>
  <si>
    <t>order id =804</t>
  </si>
  <si>
    <t>order id =805</t>
  </si>
  <si>
    <t>order id =806</t>
  </si>
  <si>
    <t>order id =807</t>
  </si>
  <si>
    <t>order id =808</t>
  </si>
  <si>
    <t>order id =809</t>
  </si>
  <si>
    <t>order id =810</t>
  </si>
  <si>
    <t>order id =811</t>
  </si>
  <si>
    <t>order id =812</t>
  </si>
  <si>
    <t>order id =813</t>
  </si>
  <si>
    <t>order id =814</t>
  </si>
  <si>
    <t>order id =815</t>
  </si>
  <si>
    <t>order id =816</t>
  </si>
  <si>
    <t>order id =817</t>
  </si>
  <si>
    <t>order id =818</t>
  </si>
  <si>
    <t>order id =819</t>
  </si>
  <si>
    <t>order id =820</t>
  </si>
  <si>
    <t>order id =821</t>
  </si>
  <si>
    <t>order id =822</t>
  </si>
  <si>
    <t>order id =823</t>
  </si>
  <si>
    <t>order id =824</t>
  </si>
  <si>
    <t>order id =825</t>
  </si>
  <si>
    <t>order id =826</t>
  </si>
  <si>
    <t>order id =827</t>
  </si>
  <si>
    <t>order id =828</t>
  </si>
  <si>
    <t>order id =829</t>
  </si>
  <si>
    <t>order id =830</t>
  </si>
  <si>
    <t>order id =831</t>
  </si>
  <si>
    <t>order id =832</t>
  </si>
  <si>
    <t>order id =833</t>
  </si>
  <si>
    <t>order id =834</t>
  </si>
  <si>
    <t>order id =835</t>
  </si>
  <si>
    <t>order id =836</t>
  </si>
  <si>
    <t>order id =837</t>
  </si>
  <si>
    <t>order id =838</t>
  </si>
  <si>
    <t>order id =839</t>
  </si>
  <si>
    <t>order id =840</t>
  </si>
  <si>
    <t>order id =841</t>
  </si>
  <si>
    <t>order id =842</t>
  </si>
  <si>
    <t>order id =843</t>
  </si>
  <si>
    <t>order id =844</t>
  </si>
  <si>
    <t>order id =845</t>
  </si>
  <si>
    <t>order id =846</t>
  </si>
  <si>
    <t>order id =847</t>
  </si>
  <si>
    <t>order id =848</t>
  </si>
  <si>
    <t>order id =849</t>
  </si>
  <si>
    <t>order id =850</t>
  </si>
  <si>
    <t>order id =851</t>
  </si>
  <si>
    <t>order id =852</t>
  </si>
  <si>
    <t>order id =853</t>
  </si>
  <si>
    <t>order id =854</t>
  </si>
  <si>
    <t>order id =855</t>
  </si>
  <si>
    <t>order id =856</t>
  </si>
  <si>
    <t>order id =857</t>
  </si>
  <si>
    <t>order id =858</t>
  </si>
  <si>
    <t>order id =859</t>
  </si>
  <si>
    <t>order id =860</t>
  </si>
  <si>
    <t>order id =861</t>
  </si>
  <si>
    <t>order id =862</t>
  </si>
  <si>
    <t>order id =863</t>
  </si>
  <si>
    <t>order id =864</t>
  </si>
  <si>
    <t>order id =865</t>
  </si>
  <si>
    <t>order id =866</t>
  </si>
  <si>
    <t>order id =867</t>
  </si>
  <si>
    <t>order id =868</t>
  </si>
  <si>
    <t>order id =869</t>
  </si>
  <si>
    <t>order id =870</t>
  </si>
  <si>
    <t>order id =871</t>
  </si>
  <si>
    <t>order id =872</t>
  </si>
  <si>
    <t>order id =873</t>
  </si>
  <si>
    <t>order id =874</t>
  </si>
  <si>
    <t>order id =875</t>
  </si>
  <si>
    <t>order id =876</t>
  </si>
  <si>
    <t>order id =877</t>
  </si>
  <si>
    <t>order id =878</t>
  </si>
  <si>
    <t>order id =879</t>
  </si>
  <si>
    <t>order id =880</t>
  </si>
  <si>
    <t>order id =881</t>
  </si>
  <si>
    <t>order id =882</t>
  </si>
  <si>
    <t>order id =883</t>
  </si>
  <si>
    <t>order id =884</t>
  </si>
  <si>
    <t>order id =885</t>
  </si>
  <si>
    <t>order id =886</t>
  </si>
  <si>
    <t>order id =887</t>
  </si>
  <si>
    <t>order id =888</t>
  </si>
  <si>
    <t>order id =889</t>
  </si>
  <si>
    <t>order id =890</t>
  </si>
  <si>
    <t>order id =891</t>
  </si>
  <si>
    <t>order id =892</t>
  </si>
  <si>
    <t>order id =893</t>
  </si>
  <si>
    <t>order id =894</t>
  </si>
  <si>
    <t>order id =895</t>
  </si>
  <si>
    <t>order id =896</t>
  </si>
  <si>
    <t>order id =897</t>
  </si>
  <si>
    <t>order id =898</t>
  </si>
  <si>
    <t>order id =899</t>
  </si>
  <si>
    <t>order id =900</t>
  </si>
  <si>
    <t>order id =901</t>
  </si>
  <si>
    <t>order id =902</t>
  </si>
  <si>
    <t>order id =903</t>
  </si>
  <si>
    <t>order id =904</t>
  </si>
  <si>
    <t>order id =905</t>
  </si>
  <si>
    <t>order id =906</t>
  </si>
  <si>
    <t>order id =907</t>
  </si>
  <si>
    <t>order id =908</t>
  </si>
  <si>
    <t>order id =909</t>
  </si>
  <si>
    <t>order id =910</t>
  </si>
  <si>
    <t>order id =911</t>
  </si>
  <si>
    <t>order id =912</t>
  </si>
  <si>
    <t>order id =913</t>
  </si>
  <si>
    <t>order id =914</t>
  </si>
  <si>
    <t>order id =915</t>
  </si>
  <si>
    <t>order id =916</t>
  </si>
  <si>
    <t>order id =917</t>
  </si>
  <si>
    <t>order id =918</t>
  </si>
  <si>
    <t>order id =919</t>
  </si>
  <si>
    <t>order id =920</t>
  </si>
  <si>
    <t>order id =921</t>
  </si>
  <si>
    <t>order id =922</t>
  </si>
  <si>
    <t>order id =923</t>
  </si>
  <si>
    <t>order id =924</t>
  </si>
  <si>
    <t>order id =925</t>
  </si>
  <si>
    <t>order id =926</t>
  </si>
  <si>
    <t>order id =927</t>
  </si>
  <si>
    <t>order id =928</t>
  </si>
  <si>
    <t>order id =929</t>
  </si>
  <si>
    <t>order id =930</t>
  </si>
  <si>
    <t>order id =931</t>
  </si>
  <si>
    <t>order id =932</t>
  </si>
  <si>
    <t>order id =933</t>
  </si>
  <si>
    <t>order id =934</t>
  </si>
  <si>
    <t>order id =935</t>
  </si>
  <si>
    <t>order id =936</t>
  </si>
  <si>
    <t>order id =937</t>
  </si>
  <si>
    <t>order id =938</t>
  </si>
  <si>
    <t>order id =939</t>
  </si>
  <si>
    <t>order id =940</t>
  </si>
  <si>
    <t>order id =941</t>
  </si>
  <si>
    <t>order id =942</t>
  </si>
  <si>
    <t>order id =943</t>
  </si>
  <si>
    <t>order id =944</t>
  </si>
  <si>
    <t>order id =945</t>
  </si>
  <si>
    <t>order id =946</t>
  </si>
  <si>
    <t>order id =947</t>
  </si>
  <si>
    <t>order id =948</t>
  </si>
  <si>
    <t>order id =949</t>
  </si>
  <si>
    <t>order id =950</t>
  </si>
  <si>
    <t>order id =951</t>
  </si>
  <si>
    <t>order id =952</t>
  </si>
  <si>
    <t>order id =953</t>
  </si>
  <si>
    <t>order id =954</t>
  </si>
  <si>
    <t>order id =955</t>
  </si>
  <si>
    <t>order id =956</t>
  </si>
  <si>
    <t>order id =957</t>
  </si>
  <si>
    <t>order id =958</t>
  </si>
  <si>
    <t>order id =959</t>
  </si>
  <si>
    <t>order id =960</t>
  </si>
  <si>
    <t>order id =961</t>
  </si>
  <si>
    <t>order id =962</t>
  </si>
  <si>
    <t>order id =963</t>
  </si>
  <si>
    <t>order id =964</t>
  </si>
  <si>
    <t>order id =965</t>
  </si>
  <si>
    <t>order id =966</t>
  </si>
  <si>
    <t>order id =967</t>
  </si>
  <si>
    <t>order id =968</t>
  </si>
  <si>
    <t>order id =969</t>
  </si>
  <si>
    <t>order id =970</t>
  </si>
  <si>
    <t>order id =971</t>
  </si>
  <si>
    <t>order id =972</t>
  </si>
  <si>
    <t>order id =973</t>
  </si>
  <si>
    <t>order id =974</t>
  </si>
  <si>
    <t>order id =975</t>
  </si>
  <si>
    <t>order id =976</t>
  </si>
  <si>
    <t>order id =977</t>
  </si>
  <si>
    <t>order id =978</t>
  </si>
  <si>
    <t>order id =979</t>
  </si>
  <si>
    <t>order id =980</t>
  </si>
  <si>
    <t>order id =981</t>
  </si>
  <si>
    <t>order id =982</t>
  </si>
  <si>
    <t>order id =983</t>
  </si>
  <si>
    <t>order id =984</t>
  </si>
  <si>
    <t>order id =985</t>
  </si>
  <si>
    <t>order id =986</t>
  </si>
  <si>
    <t>order id =987</t>
  </si>
  <si>
    <t>order id =988</t>
  </si>
  <si>
    <t>order id =989</t>
  </si>
  <si>
    <t>order id =990</t>
  </si>
  <si>
    <t>order id =991</t>
  </si>
  <si>
    <t>order id =992</t>
  </si>
  <si>
    <t>order id =993</t>
  </si>
  <si>
    <t>order id =994</t>
  </si>
  <si>
    <t>order id =995</t>
  </si>
  <si>
    <t>order id =996</t>
  </si>
  <si>
    <t>order id =997</t>
  </si>
  <si>
    <t>order id =998</t>
  </si>
  <si>
    <t>order id =999</t>
  </si>
  <si>
    <t>order id =1000</t>
  </si>
  <si>
    <t>order id =1001</t>
  </si>
  <si>
    <t>order id =1002</t>
  </si>
  <si>
    <t>order id =1003</t>
  </si>
  <si>
    <t>order id =1004</t>
  </si>
  <si>
    <t>order id =1005</t>
  </si>
  <si>
    <t>order id =1006</t>
  </si>
  <si>
    <t>order id =1007</t>
  </si>
  <si>
    <t>order id =1008</t>
  </si>
  <si>
    <t>order id =1009</t>
  </si>
  <si>
    <t>order id =1010</t>
  </si>
  <si>
    <t>order id =1011</t>
  </si>
  <si>
    <t>order id =1012</t>
  </si>
  <si>
    <t>order id =1013</t>
  </si>
  <si>
    <t>order id =1014</t>
  </si>
  <si>
    <t>order id =1015</t>
  </si>
  <si>
    <t>order id =1016</t>
  </si>
  <si>
    <t>order id =1017</t>
  </si>
  <si>
    <t>order id =1018</t>
  </si>
  <si>
    <t>order id =1019</t>
  </si>
  <si>
    <t>order id =1020</t>
  </si>
  <si>
    <t>order id =1021</t>
  </si>
  <si>
    <t>order id =1022</t>
  </si>
  <si>
    <t>order id =1023</t>
  </si>
  <si>
    <t>order id =1024</t>
  </si>
  <si>
    <t>order id =1025</t>
  </si>
  <si>
    <t>order id =1026</t>
  </si>
  <si>
    <t>order id =1027</t>
  </si>
  <si>
    <t>order id =1028</t>
  </si>
  <si>
    <t>order id =1029</t>
  </si>
  <si>
    <t>order id =1030</t>
  </si>
  <si>
    <t>order id =1031</t>
  </si>
  <si>
    <t>order id =1032</t>
  </si>
  <si>
    <t>order id =1033</t>
  </si>
  <si>
    <t>order id =1034</t>
  </si>
  <si>
    <t>order id =1035</t>
  </si>
  <si>
    <t>order id =1036</t>
  </si>
  <si>
    <t>order id =1037</t>
  </si>
  <si>
    <t>order id =1038</t>
  </si>
  <si>
    <t>order id =1039</t>
  </si>
  <si>
    <t>order id =1040</t>
  </si>
  <si>
    <t>order id =1041</t>
  </si>
  <si>
    <t>order id =1042</t>
  </si>
  <si>
    <t>order id =1043</t>
  </si>
  <si>
    <t>order id =1044</t>
  </si>
  <si>
    <t>order id =1045</t>
  </si>
  <si>
    <t>order id =1046</t>
  </si>
  <si>
    <t>order id =1047</t>
  </si>
  <si>
    <t>order id =1048</t>
  </si>
  <si>
    <t>order id =1049</t>
  </si>
  <si>
    <t>order id =1050</t>
  </si>
  <si>
    <t>order id =1051</t>
  </si>
  <si>
    <t>order id =1052</t>
  </si>
  <si>
    <t>order id =1053</t>
  </si>
  <si>
    <t>order id =1054</t>
  </si>
  <si>
    <t>order id =1055</t>
  </si>
  <si>
    <t>order id =1056</t>
  </si>
  <si>
    <t>order id =1057</t>
  </si>
  <si>
    <t>order id =1058</t>
  </si>
  <si>
    <t>order id =1059</t>
  </si>
  <si>
    <t>order id =1060</t>
  </si>
  <si>
    <t>order id =1061</t>
  </si>
  <si>
    <t>order id =1062</t>
  </si>
  <si>
    <t>order id =1063</t>
  </si>
  <si>
    <t>order id =1064</t>
  </si>
  <si>
    <t>order id =1065</t>
  </si>
  <si>
    <t>order id =1066</t>
  </si>
  <si>
    <t>order id =1067</t>
  </si>
  <si>
    <t>order id =1068</t>
  </si>
  <si>
    <t>order id =1069</t>
  </si>
  <si>
    <t>order id =1070</t>
  </si>
  <si>
    <t>order id =1071</t>
  </si>
  <si>
    <t>order id =1072</t>
  </si>
  <si>
    <t>order id =1073</t>
  </si>
  <si>
    <t>order id =1074</t>
  </si>
  <si>
    <t>order id =1075</t>
  </si>
  <si>
    <t>order id =1076</t>
  </si>
  <si>
    <t>order id =1077</t>
  </si>
  <si>
    <t>order id =1078</t>
  </si>
  <si>
    <t>order id =1079</t>
  </si>
  <si>
    <t>order id =1080</t>
  </si>
  <si>
    <t>order id =1081</t>
  </si>
  <si>
    <t>order id =1082</t>
  </si>
  <si>
    <t>order id =1083</t>
  </si>
  <si>
    <t>order id =1084</t>
  </si>
  <si>
    <t>order id =1085</t>
  </si>
  <si>
    <t>order id =1086</t>
  </si>
  <si>
    <t>order id =1087</t>
  </si>
  <si>
    <t>order id =1088</t>
  </si>
  <si>
    <t>order id =1089</t>
  </si>
  <si>
    <t>order id =1090</t>
  </si>
  <si>
    <t>order id =1091</t>
  </si>
  <si>
    <t>order id =1092</t>
  </si>
  <si>
    <t>order id =1093</t>
  </si>
  <si>
    <t>order id =1094</t>
  </si>
  <si>
    <t>order id =1095</t>
  </si>
  <si>
    <t>order id =1096</t>
  </si>
  <si>
    <t>order id =1097</t>
  </si>
  <si>
    <t>order id =1098</t>
  </si>
  <si>
    <t>order id =1099</t>
  </si>
  <si>
    <t>order id =1100</t>
  </si>
  <si>
    <t>order id =1101</t>
  </si>
  <si>
    <t>order id =1102</t>
  </si>
  <si>
    <t>order id =1103</t>
  </si>
  <si>
    <t>order id =1104</t>
  </si>
  <si>
    <t>order id =1105</t>
  </si>
  <si>
    <t>order id =1106</t>
  </si>
  <si>
    <t>order id =1107</t>
  </si>
  <si>
    <t>order id =1108</t>
  </si>
  <si>
    <t>order id =1109</t>
  </si>
  <si>
    <t>order id =1110</t>
  </si>
  <si>
    <t>order id =1111</t>
  </si>
  <si>
    <t>order id =1112</t>
  </si>
  <si>
    <t>order id =1113</t>
  </si>
  <si>
    <t>order id =1114</t>
  </si>
  <si>
    <t>order id =1115</t>
  </si>
  <si>
    <t>order id =1116</t>
  </si>
  <si>
    <t>order id =1117</t>
  </si>
  <si>
    <t>order id =1118</t>
  </si>
  <si>
    <t>order id =1119</t>
  </si>
  <si>
    <t>order id =1120</t>
  </si>
  <si>
    <t>order id =1121</t>
  </si>
  <si>
    <t>order id =1122</t>
  </si>
  <si>
    <t>order id =1123</t>
  </si>
  <si>
    <t>order id =1124</t>
  </si>
  <si>
    <t>order id =1125</t>
  </si>
  <si>
    <t>order id =1126</t>
  </si>
  <si>
    <t>order id =1127</t>
  </si>
  <si>
    <t>order id =1128</t>
  </si>
  <si>
    <t>order id =1129</t>
  </si>
  <si>
    <t>order id =1130</t>
  </si>
  <si>
    <t>order id =1131</t>
  </si>
  <si>
    <t>order id =1132</t>
  </si>
  <si>
    <t>order id =1133</t>
  </si>
  <si>
    <t>order id =1134</t>
  </si>
  <si>
    <t>order id =1135</t>
  </si>
  <si>
    <t>order id =1136</t>
  </si>
  <si>
    <t>order id =1137</t>
  </si>
  <si>
    <t>order id =1138</t>
  </si>
  <si>
    <t>order id =1139</t>
  </si>
  <si>
    <t>order id =1140</t>
  </si>
  <si>
    <t>order id =1141</t>
  </si>
  <si>
    <t>order id =1142</t>
  </si>
  <si>
    <t>order id =1143</t>
  </si>
  <si>
    <t>order id =1144</t>
  </si>
  <si>
    <t>order id =1145</t>
  </si>
  <si>
    <t>order id =1146</t>
  </si>
  <si>
    <t>order id =1147</t>
  </si>
  <si>
    <t>order id =1148</t>
  </si>
  <si>
    <t>order id =1149</t>
  </si>
  <si>
    <t>order id =1150</t>
  </si>
  <si>
    <t>order id =1151</t>
  </si>
  <si>
    <t>order id =1152</t>
  </si>
  <si>
    <t>order id =1153</t>
  </si>
  <si>
    <t>order id =1154</t>
  </si>
  <si>
    <t>order id =1155</t>
  </si>
  <si>
    <t>order id =1156</t>
  </si>
  <si>
    <t>order id =1157</t>
  </si>
  <si>
    <t>order id =1158</t>
  </si>
  <si>
    <t>order id =1159</t>
  </si>
  <si>
    <t>order id =1160</t>
  </si>
  <si>
    <t>order id =1161</t>
  </si>
  <si>
    <t>order id =1162</t>
  </si>
  <si>
    <t>order id =1163</t>
  </si>
  <si>
    <t>order id =1164</t>
  </si>
  <si>
    <t>order id =1165</t>
  </si>
  <si>
    <t>order id =1166</t>
  </si>
  <si>
    <t>order id =1167</t>
  </si>
  <si>
    <t>order id =1168</t>
  </si>
  <si>
    <t>order id =1169</t>
  </si>
  <si>
    <t>order id =1170</t>
  </si>
  <si>
    <t>order id =1171</t>
  </si>
  <si>
    <t>order id =1172</t>
  </si>
  <si>
    <t>order id =1173</t>
  </si>
  <si>
    <t>order id =1174</t>
  </si>
  <si>
    <t>order id =1175</t>
  </si>
  <si>
    <t>order id =1176</t>
  </si>
  <si>
    <t>order id =1177</t>
  </si>
  <si>
    <t>order id =1178</t>
  </si>
  <si>
    <t>order id =1179</t>
  </si>
  <si>
    <t>order id =1180</t>
  </si>
  <si>
    <t>order id =1181</t>
  </si>
  <si>
    <t>order id =1182</t>
  </si>
  <si>
    <t>order id =1183</t>
  </si>
  <si>
    <t>order id =1184</t>
  </si>
  <si>
    <t>order id =1185</t>
  </si>
  <si>
    <t>order id =1186</t>
  </si>
  <si>
    <t>order id =1187</t>
  </si>
  <si>
    <t>order id =1188</t>
  </si>
  <si>
    <t>order id =1189</t>
  </si>
  <si>
    <t>order id =1190</t>
  </si>
  <si>
    <t>order id =1191</t>
  </si>
  <si>
    <t>order id =1192</t>
  </si>
  <si>
    <t>order id =1193</t>
  </si>
  <si>
    <t>order id =1194</t>
  </si>
  <si>
    <t>order id =1195</t>
  </si>
  <si>
    <t>order id =1196</t>
  </si>
  <si>
    <t>order id =1197</t>
  </si>
  <si>
    <t>order id =1198</t>
  </si>
  <si>
    <t>order id =1199</t>
  </si>
  <si>
    <t>order id =1200</t>
  </si>
  <si>
    <t>order id =1201</t>
  </si>
  <si>
    <t>order id =1202</t>
  </si>
  <si>
    <t>order id =1203</t>
  </si>
  <si>
    <t>order id =1204</t>
  </si>
  <si>
    <t>order id =1205</t>
  </si>
  <si>
    <t>order id =1206</t>
  </si>
  <si>
    <t>order id =1207</t>
  </si>
  <si>
    <t>order id =1208</t>
  </si>
  <si>
    <t>order id =1209</t>
  </si>
  <si>
    <t>order id =1210</t>
  </si>
  <si>
    <t>order id =1211</t>
  </si>
  <si>
    <t>order id =1212</t>
  </si>
  <si>
    <t>order id =1213</t>
  </si>
  <si>
    <t>order id =1214</t>
  </si>
  <si>
    <t>order id =1215</t>
  </si>
  <si>
    <t>order id =1216</t>
  </si>
  <si>
    <t>order id =1217</t>
  </si>
  <si>
    <t>order id =1218</t>
  </si>
  <si>
    <t>order id =1219</t>
  </si>
  <si>
    <t>order id =1220</t>
  </si>
  <si>
    <t>order id =1221</t>
  </si>
  <si>
    <t>order id =1222</t>
  </si>
  <si>
    <t>order id =1223</t>
  </si>
  <si>
    <t>order id =1224</t>
  </si>
  <si>
    <t>order id =1225</t>
  </si>
  <si>
    <t>order id =1226</t>
  </si>
  <si>
    <t>order id =1227</t>
  </si>
  <si>
    <t>order id =1228</t>
  </si>
  <si>
    <t>order id =1229</t>
  </si>
  <si>
    <t>order id =1230</t>
  </si>
  <si>
    <t>order id =1231</t>
  </si>
  <si>
    <t>order id =1232</t>
  </si>
  <si>
    <t>order id =1233</t>
  </si>
  <si>
    <t>order id =1234</t>
  </si>
  <si>
    <t>order id =1235</t>
  </si>
  <si>
    <t>order id =1236</t>
  </si>
  <si>
    <t>order id =1237</t>
  </si>
  <si>
    <t>order id =1238</t>
  </si>
  <si>
    <t>order id =1239</t>
  </si>
  <si>
    <t>order id =1240</t>
  </si>
  <si>
    <t>order id =1241</t>
  </si>
  <si>
    <t>order id =1242</t>
  </si>
  <si>
    <t>order id =1243</t>
  </si>
  <si>
    <t>order id =1244</t>
  </si>
  <si>
    <t>order id =1245</t>
  </si>
  <si>
    <t>order id =1246</t>
  </si>
  <si>
    <t>order id =1247</t>
  </si>
  <si>
    <t>order id =1248</t>
  </si>
  <si>
    <t>order id =1249</t>
  </si>
  <si>
    <t>order id =1250</t>
  </si>
  <si>
    <t>order id =1251</t>
  </si>
  <si>
    <t>order id =1252</t>
  </si>
  <si>
    <t>order id =1253</t>
  </si>
  <si>
    <t>order id =1254</t>
  </si>
  <si>
    <t>order id =1255</t>
  </si>
  <si>
    <t>order id =1256</t>
  </si>
  <si>
    <t>order id =1257</t>
  </si>
  <si>
    <t>order id =1258</t>
  </si>
  <si>
    <t>order id =1259</t>
  </si>
  <si>
    <t>order id =1260</t>
  </si>
  <si>
    <t>order id =1261</t>
  </si>
  <si>
    <t>order id =1262</t>
  </si>
  <si>
    <t>order id =1263</t>
  </si>
  <si>
    <t>order id =1264</t>
  </si>
  <si>
    <t>order id =1265</t>
  </si>
  <si>
    <t>order id =1266</t>
  </si>
  <si>
    <t>order id =1267</t>
  </si>
  <si>
    <t>order id =1268</t>
  </si>
  <si>
    <t>order id =1269</t>
  </si>
  <si>
    <t>order id =1270</t>
  </si>
  <si>
    <t>order id =1271</t>
  </si>
  <si>
    <t>order id =1272</t>
  </si>
  <si>
    <t>order id =1273</t>
  </si>
  <si>
    <t>order id =1274</t>
  </si>
  <si>
    <t>order id =1275</t>
  </si>
  <si>
    <t>order id =1276</t>
  </si>
  <si>
    <t>order id =1277</t>
  </si>
  <si>
    <t>order id =1278</t>
  </si>
  <si>
    <t>order id =1279</t>
  </si>
  <si>
    <t>order id =1280</t>
  </si>
  <si>
    <t>order id =1281</t>
  </si>
  <si>
    <t>order id =1282</t>
  </si>
  <si>
    <t>order id =1283</t>
  </si>
  <si>
    <t>order id =1284</t>
  </si>
  <si>
    <t>order id =1285</t>
  </si>
  <si>
    <t>order id =1286</t>
  </si>
  <si>
    <t>order id =1287</t>
  </si>
  <si>
    <t>order id =1288</t>
  </si>
  <si>
    <t>order id =1289</t>
  </si>
  <si>
    <t>order id =1290</t>
  </si>
  <si>
    <t>order id =1291</t>
  </si>
  <si>
    <t>order id =1292</t>
  </si>
  <si>
    <t>order id =1293</t>
  </si>
  <si>
    <t>order id =1294</t>
  </si>
  <si>
    <t>order id =1295</t>
  </si>
  <si>
    <t>order id =1296</t>
  </si>
  <si>
    <t>order id =1297</t>
  </si>
  <si>
    <t>order id =1298</t>
  </si>
  <si>
    <t>order id =1299</t>
  </si>
  <si>
    <t>order id =1300</t>
  </si>
  <si>
    <t>order id =1301</t>
  </si>
  <si>
    <t>order id =1302</t>
  </si>
  <si>
    <t>order id =1303</t>
  </si>
  <si>
    <t>ΚΡΙ</t>
  </si>
  <si>
    <t>Key Performance Indicators</t>
  </si>
  <si>
    <t>1- Total Order</t>
  </si>
  <si>
    <t>2- Total Sales</t>
  </si>
  <si>
    <t>3- Total Commission</t>
  </si>
  <si>
    <t>4- Net Sales</t>
  </si>
  <si>
    <t>2- Total QTY Sold Across all the Products</t>
  </si>
  <si>
    <t>3 - Total Sales Done by Each Sales Rep</t>
  </si>
  <si>
    <t>4 - Total Commission Earned by Each Sales Rep</t>
  </si>
  <si>
    <t>5- Total Orders by each State</t>
  </si>
  <si>
    <t>Count of Order Id</t>
  </si>
  <si>
    <t>Sum of Total price</t>
  </si>
  <si>
    <t>Sum of Total Commission</t>
  </si>
  <si>
    <t>Row Labels</t>
  </si>
  <si>
    <t>Grand Total</t>
  </si>
  <si>
    <t>Sum of Quantity</t>
  </si>
  <si>
    <t>1-What Total Orders By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</si>
</sst>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Alignment="1">
      <alignment wrapText="1"/>
    </xf>
    <xf numFmtId="0" fontId="0" fillId="0" borderId="0" xfId="0" applyNumberFormat="1"/>
    <xf numFmtId="0" fontId="1" fillId="0" borderId="0" xfId="0" applyFont="1"/>
    <xf numFmtId="0" fontId="0" fillId="0" borderId="0" xfId="0" pivotButton="1"/>
    <xf numFmtId="14" fontId="0" fillId="0" borderId="0" xfId="0" applyNumberFormat="1" applyAlignment="1">
      <alignment horizontal="left"/>
    </xf>
    <xf numFmtId="0" fontId="0" fillId="0" borderId="0" xfId="0"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one month sales Repor.xlsx]Chat!PivotTable4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Chat!$C$3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Chat!$B$4:$B$33</c:f>
              <c:strCache>
                <c:ptCount val="29"/>
                <c:pt idx="0">
                  <c:v>01-07-2018</c:v>
                </c:pt>
                <c:pt idx="1">
                  <c:v>02-07-2018</c:v>
                </c:pt>
                <c:pt idx="2">
                  <c:v>03-07-2018</c:v>
                </c:pt>
                <c:pt idx="3">
                  <c:v>05-07-2018</c:v>
                </c:pt>
                <c:pt idx="4">
                  <c:v>06-07-2018</c:v>
                </c:pt>
                <c:pt idx="5">
                  <c:v>07-07-2018</c:v>
                </c:pt>
                <c:pt idx="6">
                  <c:v>08-07-2018</c:v>
                </c:pt>
                <c:pt idx="7">
                  <c:v>10-07-2018</c:v>
                </c:pt>
                <c:pt idx="8">
                  <c:v>11-07-2018</c:v>
                </c:pt>
                <c:pt idx="9">
                  <c:v>12-07-2018</c:v>
                </c:pt>
                <c:pt idx="10">
                  <c:v>13-07-2018</c:v>
                </c:pt>
                <c:pt idx="11">
                  <c:v>14-07-2018</c:v>
                </c:pt>
                <c:pt idx="12">
                  <c:v>15-07-2018</c:v>
                </c:pt>
                <c:pt idx="13">
                  <c:v>16-07-2018</c:v>
                </c:pt>
                <c:pt idx="14">
                  <c:v>17-07-2018</c:v>
                </c:pt>
                <c:pt idx="15">
                  <c:v>18-07-2018</c:v>
                </c:pt>
                <c:pt idx="16">
                  <c:v>19-07-2018</c:v>
                </c:pt>
                <c:pt idx="17">
                  <c:v>20-07-2018</c:v>
                </c:pt>
                <c:pt idx="18">
                  <c:v>21-07-2018</c:v>
                </c:pt>
                <c:pt idx="19">
                  <c:v>22-07-2018</c:v>
                </c:pt>
                <c:pt idx="20">
                  <c:v>23-07-2018</c:v>
                </c:pt>
                <c:pt idx="21">
                  <c:v>24-07-2018</c:v>
                </c:pt>
                <c:pt idx="22">
                  <c:v>25-07-2018</c:v>
                </c:pt>
                <c:pt idx="23">
                  <c:v>26-07-2018</c:v>
                </c:pt>
                <c:pt idx="24">
                  <c:v>27-07-2018</c:v>
                </c:pt>
                <c:pt idx="25">
                  <c:v>28-07-2018</c:v>
                </c:pt>
                <c:pt idx="26">
                  <c:v>29-07-2018</c:v>
                </c:pt>
                <c:pt idx="27">
                  <c:v>30-07-2018</c:v>
                </c:pt>
                <c:pt idx="28">
                  <c:v>31-07-2018</c:v>
                </c:pt>
              </c:strCache>
            </c:strRef>
          </c:cat>
          <c:val>
            <c:numRef>
              <c:f>Chat!$C$4:$C$33</c:f>
              <c:numCache>
                <c:formatCode>General</c:formatCode>
                <c:ptCount val="29"/>
                <c:pt idx="0">
                  <c:v>39</c:v>
                </c:pt>
                <c:pt idx="1">
                  <c:v>33</c:v>
                </c:pt>
                <c:pt idx="2">
                  <c:v>36</c:v>
                </c:pt>
                <c:pt idx="3">
                  <c:v>42</c:v>
                </c:pt>
                <c:pt idx="4">
                  <c:v>47</c:v>
                </c:pt>
                <c:pt idx="5">
                  <c:v>53</c:v>
                </c:pt>
                <c:pt idx="6">
                  <c:v>51</c:v>
                </c:pt>
                <c:pt idx="7">
                  <c:v>50</c:v>
                </c:pt>
                <c:pt idx="8">
                  <c:v>43</c:v>
                </c:pt>
                <c:pt idx="9">
                  <c:v>30</c:v>
                </c:pt>
                <c:pt idx="10">
                  <c:v>48</c:v>
                </c:pt>
                <c:pt idx="11">
                  <c:v>46</c:v>
                </c:pt>
                <c:pt idx="12">
                  <c:v>45</c:v>
                </c:pt>
                <c:pt idx="13">
                  <c:v>48</c:v>
                </c:pt>
                <c:pt idx="14">
                  <c:v>48</c:v>
                </c:pt>
                <c:pt idx="15">
                  <c:v>41</c:v>
                </c:pt>
                <c:pt idx="16">
                  <c:v>44</c:v>
                </c:pt>
                <c:pt idx="17">
                  <c:v>34</c:v>
                </c:pt>
                <c:pt idx="18">
                  <c:v>48</c:v>
                </c:pt>
                <c:pt idx="19">
                  <c:v>38</c:v>
                </c:pt>
                <c:pt idx="20">
                  <c:v>39</c:v>
                </c:pt>
                <c:pt idx="21">
                  <c:v>46</c:v>
                </c:pt>
                <c:pt idx="22">
                  <c:v>49</c:v>
                </c:pt>
                <c:pt idx="23">
                  <c:v>47</c:v>
                </c:pt>
                <c:pt idx="24">
                  <c:v>52</c:v>
                </c:pt>
                <c:pt idx="25">
                  <c:v>37</c:v>
                </c:pt>
                <c:pt idx="26">
                  <c:v>42</c:v>
                </c:pt>
                <c:pt idx="27">
                  <c:v>28</c:v>
                </c:pt>
                <c:pt idx="28">
                  <c:v>26</c:v>
                </c:pt>
              </c:numCache>
            </c:numRef>
          </c:val>
          <c:extLst>
            <c:ext xmlns:c16="http://schemas.microsoft.com/office/drawing/2014/chart" uri="{C3380CC4-5D6E-409C-BE32-E72D297353CC}">
              <c16:uniqueId val="{00000000-35AE-4971-9F3F-D55A7956FE95}"/>
            </c:ext>
          </c:extLst>
        </c:ser>
        <c:dLbls>
          <c:showLegendKey val="0"/>
          <c:showVal val="0"/>
          <c:showCatName val="0"/>
          <c:showSerName val="0"/>
          <c:showPercent val="0"/>
          <c:showBubbleSize val="0"/>
        </c:dLbls>
        <c:gapWidth val="65"/>
        <c:shape val="box"/>
        <c:axId val="914264703"/>
        <c:axId val="914269023"/>
        <c:axId val="993400783"/>
      </c:bar3DChart>
      <c:catAx>
        <c:axId val="914264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4269023"/>
        <c:crosses val="autoZero"/>
        <c:auto val="1"/>
        <c:lblAlgn val="ctr"/>
        <c:lblOffset val="100"/>
        <c:noMultiLvlLbl val="0"/>
      </c:catAx>
      <c:valAx>
        <c:axId val="91426902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14264703"/>
        <c:crosses val="autoZero"/>
        <c:crossBetween val="between"/>
      </c:valAx>
      <c:serAx>
        <c:axId val="9934007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1426902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one month sales Repor.xlsx]Chat!PivotTable5</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6F6F6F">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Chat!$C$40</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6F6F6F">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Chat!$B$41:$B$46</c:f>
              <c:strCache>
                <c:ptCount val="5"/>
                <c:pt idx="0">
                  <c:v>Diary</c:v>
                </c:pt>
                <c:pt idx="1">
                  <c:v>Office Chair</c:v>
                </c:pt>
                <c:pt idx="2">
                  <c:v>Printer</c:v>
                </c:pt>
                <c:pt idx="3">
                  <c:v>Projector</c:v>
                </c:pt>
                <c:pt idx="4">
                  <c:v>White Board</c:v>
                </c:pt>
              </c:strCache>
            </c:strRef>
          </c:cat>
          <c:val>
            <c:numRef>
              <c:f>Chat!$C$41:$C$46</c:f>
              <c:numCache>
                <c:formatCode>General</c:formatCode>
                <c:ptCount val="5"/>
                <c:pt idx="0">
                  <c:v>2857</c:v>
                </c:pt>
                <c:pt idx="1">
                  <c:v>2504</c:v>
                </c:pt>
                <c:pt idx="2">
                  <c:v>3593</c:v>
                </c:pt>
                <c:pt idx="3">
                  <c:v>2963</c:v>
                </c:pt>
                <c:pt idx="4">
                  <c:v>3827</c:v>
                </c:pt>
              </c:numCache>
            </c:numRef>
          </c:val>
          <c:extLst>
            <c:ext xmlns:c16="http://schemas.microsoft.com/office/drawing/2014/chart" uri="{C3380CC4-5D6E-409C-BE32-E72D297353CC}">
              <c16:uniqueId val="{00000000-BDD3-4EDB-80BC-ADAE7ABD013F}"/>
            </c:ext>
          </c:extLst>
        </c:ser>
        <c:dLbls>
          <c:showLegendKey val="0"/>
          <c:showVal val="1"/>
          <c:showCatName val="0"/>
          <c:showSerName val="0"/>
          <c:showPercent val="0"/>
          <c:showBubbleSize val="0"/>
        </c:dLbls>
        <c:gapWidth val="84"/>
        <c:gapDepth val="53"/>
        <c:shape val="box"/>
        <c:axId val="1262604799"/>
        <c:axId val="1262611519"/>
        <c:axId val="0"/>
      </c:bar3DChart>
      <c:catAx>
        <c:axId val="126260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2611519"/>
        <c:crosses val="autoZero"/>
        <c:auto val="1"/>
        <c:lblAlgn val="ctr"/>
        <c:lblOffset val="100"/>
        <c:noMultiLvlLbl val="0"/>
      </c:catAx>
      <c:valAx>
        <c:axId val="1262611519"/>
        <c:scaling>
          <c:orientation val="minMax"/>
        </c:scaling>
        <c:delete val="1"/>
        <c:axPos val="l"/>
        <c:numFmt formatCode="General" sourceLinked="1"/>
        <c:majorTickMark val="out"/>
        <c:minorTickMark val="none"/>
        <c:tickLblPos val="nextTo"/>
        <c:crossAx val="126260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one month sales Repor.xlsx]Chat!PivotTable7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Chat!$C$78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Chat!$B$79:$B$84</c:f>
              <c:strCache>
                <c:ptCount val="5"/>
                <c:pt idx="0">
                  <c:v>Bob</c:v>
                </c:pt>
                <c:pt idx="1">
                  <c:v>John</c:v>
                </c:pt>
                <c:pt idx="2">
                  <c:v>Laura</c:v>
                </c:pt>
                <c:pt idx="3">
                  <c:v>Mark</c:v>
                </c:pt>
                <c:pt idx="4">
                  <c:v>Stacey</c:v>
                </c:pt>
              </c:strCache>
            </c:strRef>
          </c:cat>
          <c:val>
            <c:numRef>
              <c:f>Chat!$C$79:$C$84</c:f>
              <c:numCache>
                <c:formatCode>General</c:formatCode>
                <c:ptCount val="5"/>
                <c:pt idx="0">
                  <c:v>20987.540000000008</c:v>
                </c:pt>
                <c:pt idx="1">
                  <c:v>17092.000000000011</c:v>
                </c:pt>
                <c:pt idx="2">
                  <c:v>17271.120000000003</c:v>
                </c:pt>
                <c:pt idx="3">
                  <c:v>20427.280000000006</c:v>
                </c:pt>
                <c:pt idx="4">
                  <c:v>19064.480000000003</c:v>
                </c:pt>
              </c:numCache>
            </c:numRef>
          </c:val>
          <c:extLst>
            <c:ext xmlns:c16="http://schemas.microsoft.com/office/drawing/2014/chart" uri="{C3380CC4-5D6E-409C-BE32-E72D297353CC}">
              <c16:uniqueId val="{00000000-B12A-4CBB-B07F-130B627A86BA}"/>
            </c:ext>
          </c:extLst>
        </c:ser>
        <c:dLbls>
          <c:showLegendKey val="0"/>
          <c:showVal val="0"/>
          <c:showCatName val="0"/>
          <c:showSerName val="0"/>
          <c:showPercent val="0"/>
          <c:showBubbleSize val="0"/>
        </c:dLbls>
        <c:gapWidth val="150"/>
        <c:overlap val="100"/>
        <c:axId val="1262612959"/>
        <c:axId val="1262613439"/>
      </c:barChart>
      <c:catAx>
        <c:axId val="1262612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613439"/>
        <c:crosses val="autoZero"/>
        <c:auto val="1"/>
        <c:lblAlgn val="ctr"/>
        <c:lblOffset val="100"/>
        <c:noMultiLvlLbl val="0"/>
      </c:catAx>
      <c:valAx>
        <c:axId val="1262613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61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one month sales Repor.xlsx]Chat!PivotTable6</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Done by Each Sales Rep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Chat!$C$58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Chat!$B$59:$B$64</c:f>
              <c:strCache>
                <c:ptCount val="5"/>
                <c:pt idx="0">
                  <c:v>Bob</c:v>
                </c:pt>
                <c:pt idx="1">
                  <c:v>John</c:v>
                </c:pt>
                <c:pt idx="2">
                  <c:v>Laura</c:v>
                </c:pt>
                <c:pt idx="3">
                  <c:v>Mark</c:v>
                </c:pt>
                <c:pt idx="4">
                  <c:v>Stacey</c:v>
                </c:pt>
              </c:strCache>
            </c:strRef>
          </c:cat>
          <c:val>
            <c:numRef>
              <c:f>Chat!$C$59:$C$64</c:f>
              <c:numCache>
                <c:formatCode>General</c:formatCode>
                <c:ptCount val="5"/>
                <c:pt idx="0">
                  <c:v>277208</c:v>
                </c:pt>
                <c:pt idx="1">
                  <c:v>309372</c:v>
                </c:pt>
                <c:pt idx="2">
                  <c:v>300764</c:v>
                </c:pt>
                <c:pt idx="3">
                  <c:v>306814</c:v>
                </c:pt>
                <c:pt idx="4">
                  <c:v>312444</c:v>
                </c:pt>
              </c:numCache>
            </c:numRef>
          </c:val>
          <c:extLst>
            <c:ext xmlns:c16="http://schemas.microsoft.com/office/drawing/2014/chart" uri="{C3380CC4-5D6E-409C-BE32-E72D297353CC}">
              <c16:uniqueId val="{00000000-D9B2-4649-9E47-315BFE2F557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one month sales Repor.xlsx]Chat!PivotTable4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Orders By Date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49424030329545"/>
          <c:y val="0.21747686944537342"/>
          <c:w val="0.86619816272965877"/>
          <c:h val="0.57570720326625835"/>
        </c:manualLayout>
      </c:layout>
      <c:bar3DChart>
        <c:barDir val="col"/>
        <c:grouping val="standard"/>
        <c:varyColors val="0"/>
        <c:ser>
          <c:idx val="0"/>
          <c:order val="0"/>
          <c:tx>
            <c:strRef>
              <c:f>Chat!$C$3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Chat!$B$4:$B$33</c:f>
              <c:strCache>
                <c:ptCount val="29"/>
                <c:pt idx="0">
                  <c:v>01-07-2018</c:v>
                </c:pt>
                <c:pt idx="1">
                  <c:v>02-07-2018</c:v>
                </c:pt>
                <c:pt idx="2">
                  <c:v>03-07-2018</c:v>
                </c:pt>
                <c:pt idx="3">
                  <c:v>05-07-2018</c:v>
                </c:pt>
                <c:pt idx="4">
                  <c:v>06-07-2018</c:v>
                </c:pt>
                <c:pt idx="5">
                  <c:v>07-07-2018</c:v>
                </c:pt>
                <c:pt idx="6">
                  <c:v>08-07-2018</c:v>
                </c:pt>
                <c:pt idx="7">
                  <c:v>10-07-2018</c:v>
                </c:pt>
                <c:pt idx="8">
                  <c:v>11-07-2018</c:v>
                </c:pt>
                <c:pt idx="9">
                  <c:v>12-07-2018</c:v>
                </c:pt>
                <c:pt idx="10">
                  <c:v>13-07-2018</c:v>
                </c:pt>
                <c:pt idx="11">
                  <c:v>14-07-2018</c:v>
                </c:pt>
                <c:pt idx="12">
                  <c:v>15-07-2018</c:v>
                </c:pt>
                <c:pt idx="13">
                  <c:v>16-07-2018</c:v>
                </c:pt>
                <c:pt idx="14">
                  <c:v>17-07-2018</c:v>
                </c:pt>
                <c:pt idx="15">
                  <c:v>18-07-2018</c:v>
                </c:pt>
                <c:pt idx="16">
                  <c:v>19-07-2018</c:v>
                </c:pt>
                <c:pt idx="17">
                  <c:v>20-07-2018</c:v>
                </c:pt>
                <c:pt idx="18">
                  <c:v>21-07-2018</c:v>
                </c:pt>
                <c:pt idx="19">
                  <c:v>22-07-2018</c:v>
                </c:pt>
                <c:pt idx="20">
                  <c:v>23-07-2018</c:v>
                </c:pt>
                <c:pt idx="21">
                  <c:v>24-07-2018</c:v>
                </c:pt>
                <c:pt idx="22">
                  <c:v>25-07-2018</c:v>
                </c:pt>
                <c:pt idx="23">
                  <c:v>26-07-2018</c:v>
                </c:pt>
                <c:pt idx="24">
                  <c:v>27-07-2018</c:v>
                </c:pt>
                <c:pt idx="25">
                  <c:v>28-07-2018</c:v>
                </c:pt>
                <c:pt idx="26">
                  <c:v>29-07-2018</c:v>
                </c:pt>
                <c:pt idx="27">
                  <c:v>30-07-2018</c:v>
                </c:pt>
                <c:pt idx="28">
                  <c:v>31-07-2018</c:v>
                </c:pt>
              </c:strCache>
            </c:strRef>
          </c:cat>
          <c:val>
            <c:numRef>
              <c:f>Chat!$C$4:$C$33</c:f>
              <c:numCache>
                <c:formatCode>General</c:formatCode>
                <c:ptCount val="29"/>
                <c:pt idx="0">
                  <c:v>39</c:v>
                </c:pt>
                <c:pt idx="1">
                  <c:v>33</c:v>
                </c:pt>
                <c:pt idx="2">
                  <c:v>36</c:v>
                </c:pt>
                <c:pt idx="3">
                  <c:v>42</c:v>
                </c:pt>
                <c:pt idx="4">
                  <c:v>47</c:v>
                </c:pt>
                <c:pt idx="5">
                  <c:v>53</c:v>
                </c:pt>
                <c:pt idx="6">
                  <c:v>51</c:v>
                </c:pt>
                <c:pt idx="7">
                  <c:v>50</c:v>
                </c:pt>
                <c:pt idx="8">
                  <c:v>43</c:v>
                </c:pt>
                <c:pt idx="9">
                  <c:v>30</c:v>
                </c:pt>
                <c:pt idx="10">
                  <c:v>48</c:v>
                </c:pt>
                <c:pt idx="11">
                  <c:v>46</c:v>
                </c:pt>
                <c:pt idx="12">
                  <c:v>45</c:v>
                </c:pt>
                <c:pt idx="13">
                  <c:v>48</c:v>
                </c:pt>
                <c:pt idx="14">
                  <c:v>48</c:v>
                </c:pt>
                <c:pt idx="15">
                  <c:v>41</c:v>
                </c:pt>
                <c:pt idx="16">
                  <c:v>44</c:v>
                </c:pt>
                <c:pt idx="17">
                  <c:v>34</c:v>
                </c:pt>
                <c:pt idx="18">
                  <c:v>48</c:v>
                </c:pt>
                <c:pt idx="19">
                  <c:v>38</c:v>
                </c:pt>
                <c:pt idx="20">
                  <c:v>39</c:v>
                </c:pt>
                <c:pt idx="21">
                  <c:v>46</c:v>
                </c:pt>
                <c:pt idx="22">
                  <c:v>49</c:v>
                </c:pt>
                <c:pt idx="23">
                  <c:v>47</c:v>
                </c:pt>
                <c:pt idx="24">
                  <c:v>52</c:v>
                </c:pt>
                <c:pt idx="25">
                  <c:v>37</c:v>
                </c:pt>
                <c:pt idx="26">
                  <c:v>42</c:v>
                </c:pt>
                <c:pt idx="27">
                  <c:v>28</c:v>
                </c:pt>
                <c:pt idx="28">
                  <c:v>26</c:v>
                </c:pt>
              </c:numCache>
            </c:numRef>
          </c:val>
          <c:extLst>
            <c:ext xmlns:c16="http://schemas.microsoft.com/office/drawing/2014/chart" uri="{C3380CC4-5D6E-409C-BE32-E72D297353CC}">
              <c16:uniqueId val="{00000000-64A8-45BF-B526-1B14C81DECB0}"/>
            </c:ext>
          </c:extLst>
        </c:ser>
        <c:dLbls>
          <c:showLegendKey val="0"/>
          <c:showVal val="0"/>
          <c:showCatName val="0"/>
          <c:showSerName val="0"/>
          <c:showPercent val="0"/>
          <c:showBubbleSize val="0"/>
        </c:dLbls>
        <c:gapWidth val="65"/>
        <c:shape val="box"/>
        <c:axId val="914264703"/>
        <c:axId val="914269023"/>
        <c:axId val="993400783"/>
      </c:bar3DChart>
      <c:catAx>
        <c:axId val="914264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4269023"/>
        <c:crosses val="autoZero"/>
        <c:auto val="1"/>
        <c:lblAlgn val="ctr"/>
        <c:lblOffset val="100"/>
        <c:noMultiLvlLbl val="0"/>
      </c:catAx>
      <c:valAx>
        <c:axId val="91426902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14264703"/>
        <c:crosses val="autoZero"/>
        <c:crossBetween val="between"/>
      </c:valAx>
      <c:serAx>
        <c:axId val="9934007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1426902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one month sales Repor.xlsx]Chat!PivotTable5</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 QTY Sold PER</a:t>
            </a:r>
            <a:r>
              <a:rPr lang="en-US" baseline="0"/>
              <a:t> </a:t>
            </a:r>
            <a:r>
              <a:rPr lang="en-US"/>
              <a:t>Products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Chat!$C$40</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Chat!$B$41:$B$46</c:f>
              <c:strCache>
                <c:ptCount val="5"/>
                <c:pt idx="0">
                  <c:v>Diary</c:v>
                </c:pt>
                <c:pt idx="1">
                  <c:v>Office Chair</c:v>
                </c:pt>
                <c:pt idx="2">
                  <c:v>Printer</c:v>
                </c:pt>
                <c:pt idx="3">
                  <c:v>Projector</c:v>
                </c:pt>
                <c:pt idx="4">
                  <c:v>White Board</c:v>
                </c:pt>
              </c:strCache>
            </c:strRef>
          </c:cat>
          <c:val>
            <c:numRef>
              <c:f>Chat!$C$41:$C$46</c:f>
              <c:numCache>
                <c:formatCode>General</c:formatCode>
                <c:ptCount val="5"/>
                <c:pt idx="0">
                  <c:v>2857</c:v>
                </c:pt>
                <c:pt idx="1">
                  <c:v>2504</c:v>
                </c:pt>
                <c:pt idx="2">
                  <c:v>3593</c:v>
                </c:pt>
                <c:pt idx="3">
                  <c:v>2963</c:v>
                </c:pt>
                <c:pt idx="4">
                  <c:v>3827</c:v>
                </c:pt>
              </c:numCache>
            </c:numRef>
          </c:val>
          <c:extLst>
            <c:ext xmlns:c16="http://schemas.microsoft.com/office/drawing/2014/chart" uri="{C3380CC4-5D6E-409C-BE32-E72D297353CC}">
              <c16:uniqueId val="{00000000-F036-440B-AE16-71E61CA0CD51}"/>
            </c:ext>
          </c:extLst>
        </c:ser>
        <c:dLbls>
          <c:showLegendKey val="0"/>
          <c:showVal val="1"/>
          <c:showCatName val="0"/>
          <c:showSerName val="0"/>
          <c:showPercent val="0"/>
          <c:showBubbleSize val="0"/>
        </c:dLbls>
        <c:gapWidth val="84"/>
        <c:gapDepth val="53"/>
        <c:shape val="box"/>
        <c:axId val="1262604799"/>
        <c:axId val="1262611519"/>
        <c:axId val="0"/>
      </c:bar3DChart>
      <c:catAx>
        <c:axId val="126260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2611519"/>
        <c:crosses val="autoZero"/>
        <c:auto val="1"/>
        <c:lblAlgn val="ctr"/>
        <c:lblOffset val="100"/>
        <c:noMultiLvlLbl val="0"/>
      </c:catAx>
      <c:valAx>
        <c:axId val="1262611519"/>
        <c:scaling>
          <c:orientation val="minMax"/>
        </c:scaling>
        <c:delete val="1"/>
        <c:axPos val="l"/>
        <c:numFmt formatCode="General" sourceLinked="1"/>
        <c:majorTickMark val="out"/>
        <c:minorTickMark val="none"/>
        <c:tickLblPos val="nextTo"/>
        <c:crossAx val="126260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one month sales Repor.xlsx]Chat!PivotTable7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3648293963254"/>
          <c:y val="0.2154329946782777"/>
          <c:w val="0.86486351706036746"/>
          <c:h val="0.69652507152135734"/>
        </c:manualLayout>
      </c:layout>
      <c:barChart>
        <c:barDir val="col"/>
        <c:grouping val="stacked"/>
        <c:varyColors val="0"/>
        <c:ser>
          <c:idx val="0"/>
          <c:order val="0"/>
          <c:tx>
            <c:strRef>
              <c:f>Chat!$C$78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Chat!$B$79:$B$84</c:f>
              <c:strCache>
                <c:ptCount val="5"/>
                <c:pt idx="0">
                  <c:v>Bob</c:v>
                </c:pt>
                <c:pt idx="1">
                  <c:v>John</c:v>
                </c:pt>
                <c:pt idx="2">
                  <c:v>Laura</c:v>
                </c:pt>
                <c:pt idx="3">
                  <c:v>Mark</c:v>
                </c:pt>
                <c:pt idx="4">
                  <c:v>Stacey</c:v>
                </c:pt>
              </c:strCache>
            </c:strRef>
          </c:cat>
          <c:val>
            <c:numRef>
              <c:f>Chat!$C$79:$C$84</c:f>
              <c:numCache>
                <c:formatCode>General</c:formatCode>
                <c:ptCount val="5"/>
                <c:pt idx="0">
                  <c:v>20987.540000000008</c:v>
                </c:pt>
                <c:pt idx="1">
                  <c:v>17092.000000000011</c:v>
                </c:pt>
                <c:pt idx="2">
                  <c:v>17271.120000000003</c:v>
                </c:pt>
                <c:pt idx="3">
                  <c:v>20427.280000000006</c:v>
                </c:pt>
                <c:pt idx="4">
                  <c:v>19064.480000000003</c:v>
                </c:pt>
              </c:numCache>
            </c:numRef>
          </c:val>
          <c:extLst>
            <c:ext xmlns:c16="http://schemas.microsoft.com/office/drawing/2014/chart" uri="{C3380CC4-5D6E-409C-BE32-E72D297353CC}">
              <c16:uniqueId val="{00000000-5514-45DD-A7A1-D880CD33BEF2}"/>
            </c:ext>
          </c:extLst>
        </c:ser>
        <c:dLbls>
          <c:showLegendKey val="0"/>
          <c:showVal val="0"/>
          <c:showCatName val="0"/>
          <c:showSerName val="0"/>
          <c:showPercent val="0"/>
          <c:showBubbleSize val="0"/>
        </c:dLbls>
        <c:gapWidth val="150"/>
        <c:overlap val="100"/>
        <c:axId val="1262612959"/>
        <c:axId val="1262613439"/>
      </c:barChart>
      <c:catAx>
        <c:axId val="1262612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613439"/>
        <c:crosses val="autoZero"/>
        <c:auto val="1"/>
        <c:lblAlgn val="ctr"/>
        <c:lblOffset val="100"/>
        <c:noMultiLvlLbl val="0"/>
      </c:catAx>
      <c:valAx>
        <c:axId val="1262613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61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[raw data one month sales Repor.xlsx]Chat!PivotTable6</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Done by Each Sales Rep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2"/>
          </a:solidFill>
          <a:ln>
            <a:noFill/>
          </a:ln>
          <a:effectLst>
            <a:outerShdw blurRad="254000" sx="102000" sy="102000" algn="ctr" rotWithShape="0">
              <a:prstClr val="black">
                <a:alpha val="20000"/>
              </a:prstClr>
            </a:outerShdw>
          </a:effectLst>
          <a:sp3d/>
        </c:spPr>
      </c:pivotFmt>
      <c:pivotFmt>
        <c:idx val="4"/>
        <c:spPr>
          <a:solidFill>
            <a:schemeClr val="accent2"/>
          </a:solidFill>
          <a:ln>
            <a:noFill/>
          </a:ln>
          <a:effectLst>
            <a:outerShdw blurRad="254000" sx="102000" sy="102000" algn="ctr" rotWithShape="0">
              <a:prstClr val="black">
                <a:alpha val="20000"/>
              </a:prstClr>
            </a:outerShdw>
          </a:effectLst>
          <a:sp3d/>
        </c:spPr>
      </c:pivotFmt>
      <c:pivotFmt>
        <c:idx val="5"/>
        <c:spPr>
          <a:solidFill>
            <a:schemeClr val="accent2"/>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a:sp3d/>
        </c:spPr>
      </c:pivotFmt>
      <c:pivotFmt>
        <c:idx val="9"/>
        <c:spPr>
          <a:solidFill>
            <a:schemeClr val="accent2"/>
          </a:solidFill>
          <a:ln>
            <a:noFill/>
          </a:ln>
          <a:effectLst>
            <a:outerShdw blurRad="254000" sx="102000" sy="102000" algn="ctr" rotWithShape="0">
              <a:prstClr val="black">
                <a:alpha val="20000"/>
              </a:prstClr>
            </a:outerShdw>
          </a:effectLst>
          <a:sp3d/>
        </c:spPr>
      </c:pivotFmt>
      <c:pivotFmt>
        <c:idx val="10"/>
        <c:spPr>
          <a:solidFill>
            <a:schemeClr val="accent2"/>
          </a:solidFill>
          <a:ln>
            <a:noFill/>
          </a:ln>
          <a:effectLst>
            <a:outerShdw blurRad="254000" sx="102000" sy="102000" algn="ctr" rotWithShape="0">
              <a:prstClr val="black">
                <a:alpha val="20000"/>
              </a:prstClr>
            </a:outerShdw>
          </a:effectLst>
          <a:sp3d/>
        </c:spPr>
      </c:pivotFmt>
      <c:pivotFmt>
        <c:idx val="11"/>
        <c:spPr>
          <a:solidFill>
            <a:schemeClr val="accent2"/>
          </a:solidFill>
          <a:ln>
            <a:noFill/>
          </a:ln>
          <a:effectLst>
            <a:outerShdw blurRad="254000" sx="102000" sy="102000" algn="ctr" rotWithShape="0">
              <a:prstClr val="black">
                <a:alpha val="20000"/>
              </a:prstClr>
            </a:outerShdw>
          </a:effectLst>
          <a:sp3d/>
        </c:spPr>
      </c:pivotFmt>
      <c:pivotFmt>
        <c:idx val="12"/>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Chat!$C$58</c:f>
              <c:strCache>
                <c:ptCount val="1"/>
                <c:pt idx="0">
                  <c:v>Total</c:v>
                </c:pt>
              </c:strCache>
            </c:strRef>
          </c:tx>
          <c:dPt>
            <c:idx val="0"/>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C56-4F81-AB34-31A3F8D75B52}"/>
              </c:ext>
            </c:extLst>
          </c:dPt>
          <c:dPt>
            <c:idx val="1"/>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C56-4F81-AB34-31A3F8D75B52}"/>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C56-4F81-AB34-31A3F8D75B52}"/>
              </c:ext>
            </c:extLst>
          </c:dPt>
          <c:dPt>
            <c:idx val="3"/>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C56-4F81-AB34-31A3F8D75B52}"/>
              </c:ext>
            </c:extLst>
          </c:dPt>
          <c:dPt>
            <c:idx val="4"/>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DC56-4F81-AB34-31A3F8D75B5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Chat!$B$59:$B$64</c:f>
              <c:strCache>
                <c:ptCount val="5"/>
                <c:pt idx="0">
                  <c:v>Bob</c:v>
                </c:pt>
                <c:pt idx="1">
                  <c:v>John</c:v>
                </c:pt>
                <c:pt idx="2">
                  <c:v>Laura</c:v>
                </c:pt>
                <c:pt idx="3">
                  <c:v>Mark</c:v>
                </c:pt>
                <c:pt idx="4">
                  <c:v>Stacey</c:v>
                </c:pt>
              </c:strCache>
            </c:strRef>
          </c:cat>
          <c:val>
            <c:numRef>
              <c:f>Chat!$C$59:$C$64</c:f>
              <c:numCache>
                <c:formatCode>General</c:formatCode>
                <c:ptCount val="5"/>
                <c:pt idx="0">
                  <c:v>277208</c:v>
                </c:pt>
                <c:pt idx="1">
                  <c:v>309372</c:v>
                </c:pt>
                <c:pt idx="2">
                  <c:v>300764</c:v>
                </c:pt>
                <c:pt idx="3">
                  <c:v>306814</c:v>
                </c:pt>
                <c:pt idx="4">
                  <c:v>312444</c:v>
                </c:pt>
              </c:numCache>
            </c:numRef>
          </c:val>
          <c:extLst>
            <c:ext xmlns:c16="http://schemas.microsoft.com/office/drawing/2014/chart" uri="{C3380CC4-5D6E-409C-BE32-E72D297353CC}">
              <c16:uniqueId val="{0000000A-DC56-4F81-AB34-31A3F8D75B5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7F9BF693-8EA0-4A44-A03A-F8C5726672A9}">
          <cx:dataId val="0"/>
          <cx:layoutPr>
            <cx:geography cultureLanguage="en-US" cultureRegion="IN" attribution="Powered by Bing">
              <cx:geoCache provider="{E9337A44-BEBE-4D9F-B70C-5C5E7DAFC167}">
                <cx:binary>1Hxpb91IrvZfaeTzlbtUuwbTA7ylI8tr7DjO+kVwHEdbSSWpqrT9+ksn6YytcZKeg+DF7UY3Gj7H
oiiSD8l6SPmft/M/bvXdzfDb3OjW/uN2/uNZ4Vz3j99/t7fFXXNjD5rydjDWfHIHt6b53Xz6VN7e
/f5xuJnKNv8do5D+flvcDO5ufvavf4K0/M6cmdsbV5r2hb8blqs767WzP/juya9+u/nYlO2utG4o
b134x7Ojm2G5aW+e/XbXutIt10t398ezR7/07Lfft6L+47a/adDM+Y9wLY4OwkiGEWXPftOmzb9+
LPgBoQhTRCX6/A//85bPbxq47C/o8VmLm48fhztr4Tk+///BhY+Uhs+vnv12a3zr7m2Vg9n+eHbc
fizhSUtr4i9fxOZe4+Pnnx/x98dW/tc/Nx/AQ28+eeCIrYV+9tV/+OGVcxAtl8PNxztb/GmaX+AN
fhBhwngYfrE6Ch95RaIDxjlhWJLo8z/kz1t/8cpf1upp32wu33jo1eXfykOnd8ON/oVACdEBpZEU
QtBHPgGkUCQxpyH/4jP82Cc/1+NpZ/x53cYLp2d/Ky+c3+UFuGH5hY7A7IARRkMivoIgeuSPKDzA
QnApEP+CEfj6S7L8gpG/pNHTLnlw6cYr538vr+zudFH+aZZfkLXkAaeERIh/hcDjrCXEQRgyKiQL
v3hkU0t+qs3T3vh62cYTu7+XJ1QJXcMv9AQ74CICQzPyJRk99oSEr1HEOY02Seqnajztgq+XbVyg
/l6l/M2ddb+puza/0b/QEeRAQo5iSIhH2UmKg0hgHtE/cxe0XQ+z019U5ml3PLp445Q36m9VN1Lz
CytGyA4IJ5hEWH4rCQ97XXqAGPiEY/zl641PfqLL0774fNHGB+n/+1v54PRmaG/cTf0rPUEPRIgo
phQ/lZ+glwohf0H2erq//UsaPe2PB5duvHL69/LKCRSMurhpP/6ZOH5B/SYHHM4cOPrzWCEf5yxo
uKC9JZh/hQ80wA9z1l/S6GmvPLh045WTo78VVs5vwC03tnDDr0RLdEAZRpKw6HtoQTIimH7Napu8
9Rd1etozjy7e+Ob8/7ZvnqYRvkTsF7A8+o3/ljDBB3AAZwjLrykMWqmHxSS6rzVcIMK++Azq/0Ow
fCU1vq/N0+74etkjxf9vMySprwAR7s+n/wVZCh/wCPP7PPXY4uEBi8DecAb/Vt0fWvwvKPK0zb9d
uAn/9OT/b2r6Po31jdjbQZ1OPjOCD5isH3/7+ZmBptxc+jVYn3TXF6sef/zjmYBygDCcJTAEO8KY
EAjzb7zjvchHQX928/Gm/kaTfVfA3Y11fzwDkotgCRgK79tkyH1Qbibo0eGuGE7+IZwyJdCVJMSQ
71ozuOKPZ0QcQKctGSI0FBEc/uEra/znrwCvREgaImgqCINz6DeG9tLoJTftNzt9/fm31jeXpmyd
BWUY1MLuy+/d6x3gkAoqEPwHn9/eXAH9C78W/g/VztRh7YojPYnm0IPyXFXdlEex7Jp+VCRq11MR
tDL1ZLAnyDFxYrAsvBq5q55P3Ro41cqFNTsx6+E1CzL/3EZyed1VTUTjtpRtdzjUTa1VOfXRVdNV
9oWoEZ1jUTUSKSJWU/aqy/NgiLsxzBJLUGaUrXqcfxjlGHTHozH03GJGTvQcTjdjtrQfuqJmNhlo
1aWmaYdGrayM8liPlqOjaeH8/bDUuVHERPOSLsghpLDWY39sTZAFcb8UtNr5Lqz6k0ry8sXcCZbH
1Tr010z45qWXYt7x2o9ZPC8Df4eXurmc53AJ4nnE9RgP1ar1IV76givCCvSur5aaqIgEQxlHtRNX
c1uORrGKjLcVC+aTqGroSejz/IoFrE16WeKXmFX+DcoGdtkERXMlmpqngaPREdXdmo5obpMs4CI7
Gxknu8WwPiE5n3eYT4E8HP3QeJVjX9xG0wx+DLQtokRjPnrV1NN62gWcfJqycX6J+ny9K6emGVWW
d/27Fdf0IvJLFSaFrbIhbmiVvxJUj7PyvnGXRReh50tVzZOK5m5lyufLmNa6zGdV5eP0SoQ8eN1H
ZaEVnwR6JX1YLCri/VInZaDRpeQF/lCFU58Oq+zjELs6VzPK7WXT8sAo07WNSJoui04rUruzqi2G
XvVkaI9E1Zf2mDZ9NKg6bN37htbBsGPU27u8yeZrNpppUpa6LFTSBTIWmZfnphu4jQEfWu9cRHFa
95WNLljkdZ+4pWrnmEUjLdQSaFOeT6uYS9UsvaFJNbYBOWzoKu7aimR0V+ieZXFXtd2a8B7rMA6i
pjLKsaF7v1JdvEW4M4o35dxeNGxmowLULBaMoZvpiLXCuxgMO/u4pE0J9hs96EngRvOuZEtxxcKi
H8D6PH/bWJJ9KqtOLCeDxtldnXF3JKveh7edHlGjioGHY0qabIWQmpkzh2IghbkcNQ7PfFS0mcq0
lsfFNNlbz4s5CYbOtztUNvCzxTY4C4PS1MnoffSemnWtLl0xcq/onLHjalqaV73L6ceFreW7Oa8z
qYYoE92uLRsdh8iwwwoFNY1p2E7HXSEKo4oKmgZVBsDO7HDbaxkjU7swHqPcHy4RWjpVrIu8i8aB
411tozCRQrNKjbMTL5DP7PHIRzsq3fj5ZaAj+yEamH1TVQV6Tud1PWTeOrNriplL1Q3R+CIIqH0z
DYypgU3mdF3D/nDUQJwms6w6rsoxG5MGR65UgSlogrtWgy0ak5dqrcbuzdLY+rQNa1YkvOKWqCqj
5rh1+YxVmJFVMYjKSWk0mUIVbGRqrARPuDXjbbTquVdh5UUUu2V157rWyxWP1kIemsx0WaLZMqd9
HrA07DQ6Fl09tQqDG98NUb1+dIHNeYIdWs5R44JzL4r8PLKsLhQ2VFxNTVe+HMfAN0qPPDxGE1+P
qM2Gq1JO44XNMXcKT22wy2G89NaYQiTjOhWHNsuya+ch5cSkydfDqp70oljUlUngkG/jlcrqfVtO
5qLSA0tsn0eqiub52GfD+tEvxMh4KQoTpnVtiFB8XMD3vu4KouiUd+8609XvRJjj6SQiITExm8Wg
IIe7V+CdeVRoycML0kw2HrXrl5OAzZNVk7QkSo2szC4rA1/HyJKpg1itzAfNCL921EMQ9shHWOVT
X70PDe3esn6aItX3g9EKe+rYIeUrLmJTV3WrnBjWMsUd6l7bKqzqKyxN48AlBJJOjmi/I0GL8GlR
LWjajWD+NRGlC2bFu2Wcj7CeCD0e0GLJRdd3w3m+llmppjZa6p3IcfR86IX+MBd58akIBrPrLCqv
czxYrSJNoNwIXcu06rOqiHVuRJItYdfFeSvKI9oin+8C088ndOznQpEl0yd+Gvkas1E3NtbGmeeo
wqPdhbnNd6PM5sup68m6C5agTsemQMehy/xuFF7TeG5CNh/2hFRnZAgDFmPjyBHqSJGO88Xg5zVX
BQx6OzXYcT1bqq5LfNO0TKGeojrueVN9EH3dJkiT02kuJ68q7eEqAxq+6Iywb4iW04kLoOOI88Wx
QtkajZUyEyp3uRPmBGDDzJumXvpKUWePYFyROqtXrpZQv9NyiE4db6B/qPuIqqKN9ElBpjAHuAx9
DePgjCEFaaeFPMSCdAiviJxf4NBESqJx/aihGkChLt21brU8zVczx0uTyZi21l21mR8/USg+Kckd
OSERvxHDxHerj/TROpH8CDtrX5GZkSNZMwHQ1VorJ0N615dRNsZGj9GlD0NyWOvJz/EqZHcSZq5J
+FL6oywK116RshyG3VRW89lKenfW5gbtojGrzzWDRJ5UU9t3Kpxzs8RUhoFXjodZHRdjEKa2WqJK
rWVfH68wAL7CFdUnM4TamZSuOl2jkp76wstelZ23byOIs51lrbzlS4ZbxVvaX9BGy6u2QeKocq4N
Y9plmcJzgD9GEDC7zIbti76KatXrtaRJU+f0CDHXvUItKtPJg/tN1Bdvm6IWjZpwvVpV8hypUFTi
eVtH/DYsHUPJEE0m5oPr3rshYvHqenfdY2tv5zzsLrnj83k7VIuMp7rKn1tmRUKMKNKJodKqQHfE
Qc+FxftmJdUSG6/nV5yWdFBsavK7rOiLiyYLyFnlO9HEugEUqqlzIRRQ4/27kS4iEWMvXwaUjAgS
QJa/E6guepWX4/w+4EXwvvZ0KFXlqvl1F1U8LWQnLmBkQ06ieao/gb7Dpcjt8iFafWnU2i0W2rNy
0J0aB+muo2VqelXZiVU7kpcSK86W5YXMB3koFja9Xinnh6Jvmxs4pUGr0dl6ypWz2eRUNrh2iHFP
8hRcNZ2Fee4gO5TZ8KIcCO+hfeF1pdyqIVNhMzuddL4YyhNRBd6k3g1DdtwNDuU7Gc1cH+qwCJ/b
rqNvsJjGXGGL6uWwHJsxVPMgc6JKPMjTMhdrExs6W7cbp2goYrmilcQe9zyKs2Ua3k2uHKrdUBbI
xOWqs/OSY2J2zPHiGCIkWmODS3eTFwKK2sRkeFWPAuxvpaeTypvKH2HYGnlNadFfdb22tRrgPHRV
LTTajeGYxwFG4rS0TF6Es0d3ZdhLrSAKWpxA3W0hAWKvJ1XLgb1ctC+LpFygJVDTYIs2ycu1K3dh
AEeYS8maMTucRkaPhMbG7OqadhLKWyvJzkCpGM9xabtMgRfyPJ4jI1IeOnmlNe763RpNclUm0vRT
1QQR27VREL6KWLDclDJAH6XU3h+ZaYVKXg+D89CsVm2ret/PXayrqku0dUVcUJ1/wrkpr9zaVfES
dWF5CD3m2igqy2QVZnjhZWt3gxggRbVW8sMFurZqR+cQJ1EhJeQpX0vFuc1uoqnHV6iFFiOBrjcK
4qGJmE7mjs819Nc6+KR9s0KP5ofjaIUHV+vYm8Mga+dkEARgQqEu7yCyfZj0FTI3JOo7fFmNuU6y
kc8KfpovDdLdEredmbBC3ZAVCqIKx1nTF5eZrukxqWV+UaOmGdTCrQjhBIT7VQ1kkmMsQGT+qiop
6BQOpHvdTULaXR9l+pPRJb4aiF5qaHVqvtNZ73dBFaw74Wdw8jAHR44MLuEZ6fI4Q9ABqiUf0C5v
nUv8iiAWu7JmiqG8uyl0MJzW84qhwQ/X9ShwYfRpoSJb0ixoxHweVmVwPQYjSJGFZce5kDUcyeDM
iVNHfHZiIKZvFx1B07zSML+Cyt3liuAyOpWZaY87h+pOzbMhKQqsj8deVIcCakiSD7hPOC7qWbWV
WI9pVVQqQMInkQlG5Rfrz0FpekIJRm+hD+iTqI7awzosSQCg0UaJKVszFY29jiuRl7u5qv2VoT6w
qiHaWJX1uldtj8oXAq06CbuoyBWTETtFDYZ2itVZgnn2AfrUKEWAyQRO8jYBljN/j4fGfVgQYkQF
ZZjt8gXX73NrxIt8De2s4HRQnUwm0OkaNE285G6+nufscilc+C5EunjBygFwiWfRqoyz+UT243RE
O52fct7VYHdenshCR0U8i5Klpkb4TT+sAnJUafh9h96QwwKhMleC0q5RLq+gm61L9IFBijkqoS1N
agCOPZ9a7SGICByOh7GB3jUoK7fLyaqPjfHQRKOmNNcmh44XWjh+yflMX9LVkGPBbXBpLCPJxI1d
VF7x8boPunxSkHnxMc+lTMQ8FtcAvexdwfEKqS3zHaTHvITs4seoVLpFzfN26YoTkhX8cqSYD6qX
cikV4ag+ZwHxR0VZkOclXmepsraqLgbd58uOoSbYFciL46zJF7vLfOVeLliXr7z242UU5OwWsBte
hsUQ3fW2sIdDVGWN4ngpAhVMNHyDnYGuPqyrY9bz6lwg5GaFRuAyGgf5qvQeO+VlUx3r1hc73zZN
msm+UXUUzMe4490u03Q+DTQ8bC1AiMqCtoeWNTc8YZr4NwOUugLu1utDhEKQiZx+mWEtr13hg1ot
vsNWdcXED/u66uKC4PncmCAM4/vOhcVUFO112ITVIadjdWko/iTgMAhVua+t3c0+cGcLncXr+/KZ
jHUt2ys90+k1h6IMvlx7Iw/9aNzHms5L/D9wONdd1hJ9RBYGHY0e5nmHeGW8WpeCXaxQUvxORxWy
8WfG7Cu594iKujXdMpR58XVf8NuP/7o2Dfz7ea/t3x/erxv++6f0ztzvudjtL93f59tv/Xs37p6q
+7Yot6ECv+wsfocn/OGXj0jE24dbfX/SwfdcGvSPPyINHzHl337/C0cYiQMahgLoPAJdBzB+QAl/
4Qi5hH1GWDSRCIYmQNGTcEMSchZxWA36SizaLyQhPxAcwUxeCgzUJvDI+L8hCYGg/E+KkLEISMiH
FKHN5szUZcSPinAXsQs7ApH8jTR9gnz8ntz7zx9QjxEuR271LBI4a+hCreuyvCkwn78sSn7Zk/wv
xINXHoqvRFAv09yKBBilYbiCYzTKr/N5NZ9+rD6s+TxpFhiYPJQfNWstPZA0SYSZXV90YRMhVZCK
hQpRKAmKwvEhO/zxzb5nK3D/w5sBpcmrKW+B4rBEEmhDSD4os3D5/sfy7+ne/6CBwcfosXxoE1BX
RQuHVqaj52E40eblhCrEzxbp2jkNxApJGGiyDrZk9nC+hEh/+ECdRN0o7m846kjMJ6bwmY+p9UWZ
/PgG94KeeCJ5T3g/iC5ZrhNynrBkqq2YTvhCMhx3tcXFGXAtFT4PfQ1cRG/7dhEKaQosEmqLcYAp
4Y8eMLw33VMKbJh1OPLAcdkuLAG6d+xjiWUqSPipq0k/weEtn8YGGhMRnJkpD+vEQ2MsWxXkEjew
DPYjFb4TNPI+ch+YQOdLM2o2gQkkZjEZzCfBpvInz/c94ZusYACpkwSaIFkWK94isxiVjb662E/1
TW7QsiqBmAOWqobz+B0CZuOsDcraf6k+/21ukJvcYIKJdX3BWKKdGF8DPU3VnK1iv8wjN5lh0BPQ
L7hniTPBuiZoDsZhxztjxJ7qb7IBhgO6XHQF2QAaVDjJ3HdgwJQBlHb7mX+TDnC1BK2xXZC2ZhH8
0pawIvC6cS74Se78TvCIDfotHKPQNDOZriZskiWnwaDmsrbDTwx0H4RPYE9swB+ZmmqPlyw1gVyb
w2kIuzHR0xKWu74saLTnbTYQJ9RkcuoCkToHTeFRy02LkrUNgW7uSjfN+0FNbHDcm7HPyNzItAMy
57oeluKiFTy6/rGvv2erDZCnepbhBG1HioO5hJMynE3PcrqY/k3NZD3/xFTf8/j95w9yUSHzrpai
k+mg6XIcNCu6iPJw0OrHD/E98eSxeJOVCwLj8NSLHkO7Xs30HV9Nl+wnfoNoPwojJExw01GDB5zO
mwROhqLbU/sNnn1J2kUvlUypHWvwwSLnQFm0lOueN9jgGU4mrIcJnkyjsOnhIB2ydkoGOClPl3sZ
6L5xfehegRdiw2DmaWSL8jVQDPZyLvN++Yn+95H+BJ75Bs9NNAJ/53ORNtr2GcxIm96/Jv0aISCs
i0i8gIE44cf7PcsG1WIZYCccMZF2hLryyK1kjlRRNxPaD898g+e5XHru8CDS2uYdPbYNHqWq7onO
n9zg3ixPmWsD6SWvctRMEE99tnTDrsqJEDBdXkd+krusqZM5x0v7VjeSvPdtPrU/sdz3eh6+Qbme
80yYdYK8q+FAeVIENgNGcK0jaOukmyoKuwKuWse4LHjXHAJblIsdpxMxL0fkuP/J838nG/BNNlgy
DrxjHWRpIwK/I+UkUhg6kp8EY3gPy6fMix8HOxvdXPa4j1KC1sEka5iNLmHZuuqjLiJiuchtYz51
AZ2aI7rKlj2fCcHtORZSVm9ljWF0uV+obhKHbCsGxGBJ005klsR8je66eZ76/ZI236QNDRx3uMyV
SIegm9LchVSrnMj8417as03S8OHAZVXlNM27Wb5jUEqfWxQ0++XszxsvDyoOkPZtFQQiSpmGk0zs
Q9msypfDYn8SZd9BGdvkCVv2C8PA2qdumTJ8LOkwoA9zFwLiCgy8vGpLD0QbXnmX33bNavF+bmGb
/EGAoIMgGnjKZQbLHx0MQRrgjGiwZ7lgm/yx0rXuPR9E4nsWwnBszHcrN8FuP7dvkgTPItRW/bym
1ucuXVtRKT501U9y0HewzzbY5yEqghlKQ1rhsomxC6tdthi8Z1BtoA+nHiPD0qwphnOjQkX4ps3p
z7rW76m+QXPIu5bOOl/TXCzu3C8wz0t0X4TVnnGzgXNRedeRYVnTIGuiYzzO9S4jkqZ7uZVu0Ey6
kXWuBukuwzSeiLDKNmG5n+70HoQP0CxbvEoYYIHuDnYAauJHxWtB98uj2y042GoZ0JTZNe3DUh/a
qM1jmFathz+2zD1snqgXdIPXNmMFLKkEUzoF7A6OnfV4SF0Ns243Cb7nE2wgS0YxtlWdTSkB4F5F
zlRJSE2933GcbiDrWmiFppVPqaGMH8PMw++qpd0z3dANZEPX6EyulU9zq+lpqRtx3s16T9U3iIVC
ndV1SFzamyoL44FhG4tirovdj537HdDSDWhZlts6WIHm6dpyPqld7s58luk9QbWBLPCjwRjCEONw
8PlkX5IJSX3BBlir2y9uyAa1MAAb+xzmStAS+jWuO/ZuiZb2J4H/HduQDWhZBctiUsI2Vq+LUBHr
seqjyO+p+qb+kq6iOKvkCJYP3g0Y+rs2mrP93Eo2mK27dQgCy7+qTnGPFbtfldsraMgWrQyGXrII
xySagDTG99Lt/oa5d8eDXAlbO12mLUifK5gHell7mFjjak/dN2gtKJMGYQTSKYbFGqoPc9hX2C/N
E7xRHVYSZJmDcFjnaFItYCGjqPm8X29wP0R5aJjZEZHBuHtMmMsmmFKPsO/XZW5P3TdYbYoOt4Yg
n7Tj2qqpKO98tYb7Wf3+ZYGHqtsV9nRMMXnY9ymo4pS9C0aL9xS+wSnK2EBg/ukS0aN2Z+fyxnrY
Gtor1vEGpr2938aAqWlS8ahQvII5rx+w2FP6BqeCVEFeBhGoHvnw3MJ45DITud5vRHW/mv/Q6rOn
uKUgOV1D+DMqam0lZ7sAdo2/jkH/WyIab6CK+zlqfJeP6UJhh10FpGNpN2F3u5/tN1iFITsezNxA
Zc2shu1zG+5sXS3JftLxY+v4IetIDvPi1EXkfVjhF5aSF/uJ3iLVLlWzLIFLyyJ4Dunx3YLFnlwh
3uA0KstGhK1waTUVcucLdm3qzOyXBMINTtvaBkMkvU+D0pWwfCTOBO7RfsEebnAKY+Gps7MMElho
/lgusKvAmtO9DB5uUCrLCTaWq2BJQayFvT5s4aUGWI7N90u94QanY858UdPBpfCyE3pLHeQBZcs1
3K/TCDdA9b3GSGfGp40Z1p2ZxYeihIWy/WyzAWkmy16M5eBTtgxL3MCCNqzG/mzyei/kicPB/fLA
wxQTtbAy2QWNS+GVoOhc2jw810HWvdlP9Q1EscNugD/CBOFYwMYJrGa/FbLc06UbjK7UwOpMUft0
YCNRoZzf6V5e7qf3BqN0ovNUEpAdVPaa+uWcUXu+l2i0QaiZsgz2h3OXoCwI4qDKzsoV7ckPoA1C
Q1gBF2uAgwReMrtoFvFODoveL7WgDUSDAvr0wYBNdNG+MLk5zJpiv0yONuik3bSQGQj8xKzj0TDh
U8r2q6BoA8xugY1U08HZjjf5mTRz2g7ZfmNWtIFlqd1ceA9Kd82rdfSwtvd6vwjZQBLWnIZurcGJ
tKg/DHP0Qq58vzyFNnj0/VjPy8RdusBbC9fr4nBaeWJ3+ym+QSRps7mtysilNoBVAtzWR1EWvd1P
9gaRsHdvGfwRhCBhJXS3AeI3NCL7FTZYiXycBCGw+14jKMlFCXuvzNJgF0Vi3As48NeuHkuXdhSO
sjFIev4S3uSQwGLvYxMabRAJ74b0tC8Wl3oJyxwTsfBiQM+v9xO+weQE865laTObhEV3NGmY7fcE
9jD3E76B5eA9qgMNwqVml8R3tyVdhj2tssElvOS6oF5G8G5mQy4ZyJ79uK/sDTTDqRSEzCHQxpig
My/z6qSnM9/TKht0FpaOGvpZCBQGL7WsqHqlebFXg0WjDTbnCPbu4d0Ll85kcVWMaMbNDkMHVO6V
Wuh2haubGprBrMalOe1ugml8A8OHV3tFy3ZZayQEDZyAXbzP2a73NWziSiz26iOAEHoMz6EYBfDR
Myg+z5feoJMZlrD3i0W5QWjVCAS7ssSmsibnGhYO4e1Dgfez+Ha/yucD7Fz60aWo0y9oAIvjQ7FX
k0LlFp8saJecNDbFmOF4asIhDmn1aT93bgC6wETBysZZ2Gbg73I7n5SCvdxP9Aaf8+CyWuJgSOGN
MHiD0oj+sG3gBYz9pG/waeC1E3h1F6TDCGndtat5Lgisme8nfAPQ+5XruginITWwa3O/iz4Ep/Cy
wnK1n/hN/ZwCAlkR3l1O8bh8hDdkXsxWfthL9HabykHh+V/OrmRbTlzZfhFrgSQETCEzyTydfdyW
PWHZrrIEQjRCSMDXv513VOZWXb/FtBoOKRShiNBu5ADAfam4eLcMww1kkGP7cA+kclWqeNMyU4K7
Is/OC3IK2u7HsffeBWe9sWoyi5rKTA6FYuuLTn9Xdt7j5L+7KraHTPkA82A3JKaU2gHQbhIg+Uc+
LLlvyLwWx95/F6Sx6pZO9bEp25p+bSX7HAzqw7FH70J0AeKxBeffIP7ddHWTifLIsWNXdSzZRakg
EnQSSvDi4DtoF3SgIg2fjr35LkblMg7KhHIqY1Izf97ovDIIRLRSHTukk12cMilEOqcttuQSvNaa
fKjHY7049DB+PYnaOh7RMOPR1Zq92rB+U1F+6BqK7QFSbbqCseVWU9JKkzJIiX2NhK8PIX3ZHh9F
EhfGrsZOrMJtzVczlpQdRKcxvgtTvVSBXSZpys4NIZgwyWX04th0GKyHX5fcGjbPLMOSIz0+upU8
tvFyLIb4LjwzL9q5GYUpk0p0ebKtjxn4ksdOiz3SKcMuCReiTBn17i2NxicT2oPvvYtOU+N2Atoe
Yznx9HMdmddWjYeaOMZ3wVktDHThoTElx8rkGUDo+bjq9Fg+5LvItLQZgwbcY9zbyLEwRL3OQfbx
UFrZQ5HCEH1WF4djKWqqm9xjUHGew4AfW5g9FKlpMqDSmhVxk626SGfO37V1uB37onsokmtiXgFr
N5ZbBupmNLEXnKTHbs/ZHoY0Q5unj5ce26XPQPW/i/GoSeZp5tShGQ5u+H+NUWCBw0wsHdZeSJ8U
HYZnZVWx8dg9AtvDjVY1z6nR1VCmwaTGwvlB/5yzxB9sGmP26/tHmoTMZ8FQGglOoBa8ybFC8eXQ
ztwDjpJkWaBeEA7l3HJShBwgdoru91ieiXcRa1sg8CbaDeXEEmHzCJo939S6dOLg83cxC6Y8N37B
2vQSwja11R+XNjp25sX745T0XgfJjHXv0uG6TuF08W0vr4fWfY83ctTRdWj9UDZVvH0O+0pcIdY8
qGMLswccUeTJmKz4rFlXjdMlmVPK8rjqwfo/9v67YxWXcarvBoeVp5O/GZN+lGN7bDbP9pCjRGlI
BVgzlAmz72sxvXpl3x97792xKiA/QNtWjGXSZV+73ke5ZOx32Np7SP5D3b4HGo0YmaeQvhlKapr0
a4JLheustDu4ZXYnqw2DZd1o3JeI1CzngL7kUFtJzscWZheqZg1wR9/i6bFb5zyOhgfV/Q7F9J8S
9J8WZhenY70AXpeSvnRciSrHbXGDZJPUiyqEzoS66mH172c9tTc60YCXVsox/gCKWzK+ZVk8mfdZ
ovlV4V6yv0JBh3Eo2NQYxotlTEOfb6wZzUdoGgRzEa5jp771UgZjwVFYkhPUZ+R8ToZ5AQ04wpSs
4LilhnTQGKRNSZJFslvVQ0IKMlGYJvwRANm7XiLaTMmJJgue6dvabhcxZnIC245s80UTsmynyWna
fV1ASq/eWsaD5vsUxeNYphvJXGkW/N7TYLf43IQuTosuIZEq+JqI+SqiXmRPPO3ACwvHDVJqaeZz
B7r4bagns5VhDyG6i9etYydnmIjPLvEMI+xWOlaIdtA96tksW4vU1FA80n1tokffVU12a2lkWblh
tX0RU+VuG6j5L6ZzITux0LkNqlGm2t63UdMnx6oQtkuYeoEQkpppX/JY9pj6BDkRNDuWb/ZIL8qq
FYVkO5SS678qpt5XSX3svfc4Lyh4LEsL+ZEynqtyguxPFUfHhoN3Qca/X4/GDsiUCBOkEiLXC4j0
0L3JWijIHArZPcrLhIJyhUu7UpCmyRc1/uSNOVb07TFeDeitrktCyMCAzv8CNlh97anVx1IZ3dU0
kteQ9CJ8KoVR7ImhfgXyf7Zfjq3LLlEaLZxzg+tLaIvMn0w6bhjmd6k9uOy7TDl2NeSktqwvMwyV
85g0T3ITx5hmbA/yChHCMUuHvlyhxqZPfeibcoFsx8Euh+6CNOrqaAsodiQXkPw7k6mbtzwJYjWe
Di3+Hupl9eirQNq+xEXVTz+whziYjjE6GEl/Dadh9saNa9KXMsyAI7MTRDsLmjXk57F334Wri8eN
upkMZTtmW5on/Uhxxw7tj2NYDEh//PoDPLT8onARKBBgXpXPiW/OdV0fLBD2eK8BIjDNJnCE447G
FECU8WIIfFgeW5xdzPoQVOm47nqwatv2gVMX25yPhh/D9zOyi9qp6aDZ2PdIw92cPMiOhl/R067H
RsFkF7TJosdNT6hXMcpabhWr5jIJbXJw0+/qG0LbOavvp1NTa1FMfhT5bLU+lnD2kK/IQMJqQZ9c
BmtH/5JAm/+1aSicFoc+7B70FRPaQXBIDWXMExfcoCwUFWHlffybu8N/4dWxPfAL3Naq4m3alVsb
UfNhUJCVLaqkI8PJQ832AwhnL0GQtZCqakaVFQJqp/wigzjuj339PT4MpGAezg3qTw+527QIdAMB
Ci27oT3WRu8BYjykG3qWe2aqbFQ96lqAd7aOqw0PfqRd37KFswG9lnQlpVGt8sU3nkGqkLmDBVa0
C28OITHTEfyBdSaALW/zZ6D3fxzbYbvQbq1ebTZvXTmYbioWQX9uNj764rvIFiM0qCaIBUJsmF1a
oh4ImY6NAP5DofwbFF0HQSg8FERKy9xUqIDhqsFv744tyu4ktrI1IvKuK6vZpOdZQnlMx/XBo3KP
E/MJ3Pw6fNGyhhDad914+sMEOG4OvfseKDY1rOtZF+kStdZL4rZH6Ff9Rsvlvt/+oVXc48TEgntG
bvqunBYiH6LWpNBT7P2xQ2wPFfOK16lTVJfQnetF3qTp+CCTuZPHwnQPGGMZ5N04FMDKJO6aYszS
q2LReuwc2EPGzNAJUWV1V2ZM+qfJaFYktnGv//ub3jPJPy38Lkgzr1bnI5zv7cZGlPzhJKDEHUZ9
f+bo6rpjNdYeQ5auvILOvOjLcKYW8sqxbe6hFWb9sbP47tb4955LB/U0QogNezMm72cbvhMQZf/f
S/Rve3MXslCysGlo8O6YrsWn2mCUv81Rd+jzwmzn1xfvsBkDBVTgOUpM9c6twfC+k/ExNhNUtX59
elt30RySqb3n4PR10DQubR2nhxad7rFk0NHXYaW7FpfhmEr0Y/oaMGjtHVl2SOP++urzart1XusW
CAFIOBUgH0L9vc16d/D5u7MVgjRVNVgD+UKTfMfs6Fkn8vOxV7/vpL+dIMyFuK0GQxCk1b5q8hEa
gX95CgneY4/fxWyN9q2T1X3Zh7TCwHFKb5rH86HtDqeuX1++Jw2UmQ1evhISY6eIDDkkVY6dUHQP
Kcv4BgXbCfO3yNtohUo78AgFlE8bd2j4AtWLX18/db4aUNm2ZST5eoKsdvi2B5/v3aGl36PKVg4r
AmggQsg8Ekv/0EBf9IWQIZ5/8/b/mbT8dz6me2AZzB3JwvmMrcPnWL8ZI4gYXmvlRnNBIzaTC0w6
OMRQ43bpn4IVXcHTANcB/YVElF1mqFPeEhascZ5t1Qx1BQhzqzfQ1F5IocdxrYtNyGr73ldQj750
A87cYo6b5QfVjD26obEPay3dhVYz/BM2aGDIu3Qm2z7ICPyWV3XXqfgAg4xhOqFhYxv+rfGFDIH8
fGkGCSFW/NdT/UxJBeX5Y4u+a9CBaxzJnZB8FlXUvDiooD6RmohjByzdQ+L6AArhmI6qkizhX5yM
r1kk3h57812OQa+56oB7VdINONuWsBuB1Ohv0sA9Ef7TVtllmXkOIJk/LaocB2h13MwESedTtgL1
cPLoEMQNviitPDRdg17fr2EVjVkM2c5YlQG8Oc4MOv2XDUquH4+t0y7nyLWa0SNSaMj3TJ6Cavts
G/K7dbov9j+t0640iEJRz8rMquRQfH4PVDV7k0qxfFuaKPjNZPPf/sQu6YRVBvn9YVTnaaFQJZZ2
NGMNMW8M22+1B6PtN031v3zyPWoO8AQxO94KSFVbpS5zvERAhwXtudZbSgoguo9NleDa8+v3vmtw
68q0WLSOBAC68c9IRAcPsLsx59/PxwCCIxgEdKqE6PdXS/3F0ug3CfpfvsQeRJdQYDk3cHBPSoyJ
vWXtFF/6NMO9PxeuDQ+hC+jd4+jvPyDGs3ldJwFkOiAkCK67+CMbk2PUVnp3uf7706c1G+t6NU2Z
JLG9AHMNvWAZHWtWYN3869NdjVEkhfp3WbOUXQa3aigZ14f6OJrsAjnkQ9S2SVudIlc/hBVMOHp+
cM13YQyTjHbqLR69bexcZeNF1+RQf0j3GLoVqmv1lKnqpGrymMTBI6wnfpOk79/sH5LPHkMHWCHc
snhdnYbGw7NpmmwZxPT9obS5h9BVMIxwKw2w2WHIcR4Gw/IVkvOXY0/fRWmYKQPzi6AuEwjdPwL1
+hly1cfEYekeQyd4IgJH5rpsIXV9mTPbXcOxPQZFpXsYXbAuuE/Rpi7rphlPg0yfgsRM52PrsgvP
pQnHeYJD18lqVi8XQvzHwSh1bKgIU7df41P2mR1b1mWnzo0vqu3LxvTHDvE9lG6VyyK0QCHV2rnO
u7kLi62Nf5N5/22n7+LTAZ2/geGHIJrgHwbUWDFwKAofW/PdAbtBpGdydqjBWtJwFhBDP8LpApYR
x56/x9JlegXnQsUZiFb9RvK0rcxjv6j6GA+S7tF0M++qLhlpdtJ+w53tK1AAv3nz/4xq/yHD7LF0
MBiKIE4lZAmTN+oe4ZwVg2AkIBz6AUpJfVnH2UbzZHQ6PnNM13wxWhU7yHEOfL2McxaO522AQ9I3
ncTEQRee1smhCTzdo/CWYIygu2Hv7ZKx4lbTMJ3hHKam7nRoX+xheF1dW55GMjktRnIkqLWBaZSE
wy79cewP7ILdWDVvrhrm89zL4axT5k9Dxg5NmukehoeSLaYD1fM5uut++XgEU5slh/DVMEr9NY8M
iYMDl8XD3Qzt5nZiY963kOg/ti67aGdyBht+7uYzaaKhoCpq4GnQfj/28F209ypNw5BW9uyI1Hka
BCBwLSw8dq7tQXgCWNOQBdSeeyBr8l4Z8dIm1H469O57DB7zw0AjPtpzkOHWg6lNwGMmPrYwe82v
2viox0WsPUOjkrzt9KK+83BLjpVBewDeFks/2tlN567jbQHlaijCsOqY6gllu5q5zSzdaAr7yzpZ
zCWuLPTFA3Xsjp3uQXjUE3h9KHiXUK8lEFf2A+jVy7HNvhf7mj0sFaFvN53XJNpyFSpTJOpgrcLI
r3Eaq5kHdMSqbxpyLd6uP0MDb8pju3EXpsEGQ9QK9h1nAfbMKfNSFsjHxy7v6R77tYEGUdUOhVUy
kO+Tpu+1JMfo1XQP/ZIaI+V+YPO5Dk2YLwOpzlUFGN3/Xpd/aRP36C9YpYwEhoHphVdt7N7KWdf6
snLSmgszA07B//1n/qUm2iPBKgdHzqjBj4hJGsAKB16t3TIfQ4LRPRJskFViLcfThejqUwoYWJH1
65/HXn0XrqpBOgCe0ZyHBV5OtR6b06SrYwffHgmWDSy0Oo7vNi+zu2gJizMIGG/HTj66q6BXjXZj
M96crdzaSzSpj1vUxAc/6S5cNwmv1R6znvOQyqTQ7dIUgKQeg/3jVv/XZNAla2KTtBrOgYazcLMN
XU5hD/ebXf9v23F3rlaMtSZq+HCGmZQsthgOqSlk8k+HdsweAzZHK0bORqSXpum2D1s4LJ+asPud
bv2/vPseBVZR76MZYOVzbCLwUe4Fx0Ci380I/+3pu14XDjcYV69ZdmEBRucu+NG33Ydjy3Kf5f3t
MkhFBFaLdEwu0Pmq2txtQCdauUx/HHv8Lk6jtqf9FprsEg+6AwC3Wbh84lHbpcdidS/3NcB9D1X8
kF2yKYL3Knlow4OV2B78BSGu0a4Ej9YMx98dD9EdAyTSPfILZhB1JZMxu2x36SPlIzgAy9QfO1bJ
LkwbuJvZbe3ZCSpc184Mb0N+TE0Q1m6/bpcwBqiIas1OHPCHpgueWFe/Htoq/wX5goyQNLSD6TGf
dVTCiQ28a+n1/PHY83cz426IRviz9smF9REMZDc2sYc7Ve93eoL3YPyHTneP56oDNbDUV/yih2C6
2so5/TIloRBn8FST6iY0PIWf7Vb9P5rr/7Sq//RHd+GbrKTqXDO2aFsXDyPuqK3h8HiG3fAWthdZ
LTCJH3sNu5q8oyPO9qVZTZfc+nbgUl/QWDcKtsibcutNVmtQfaPUA3bXhYC0qhwupJuH1VxohvFJ
8Sgdnh18PCN+WwIG89vcbK0I4F9Hs5qK3NgEds1g9ODTwSd57MW3wUg9RzlTSa1vdFOQez6taOgT
cVpH502hVtos7yEh512dxwoWP5D5Xutl6vIomwPO8myFNLy6RoPikL7XmFlaDQ8+0854wSnpu48D
0WhkmqRJf+pB4x+beWTuxAH3pfmMFVKFc57U5bbOC1yXVEin7luPoW0ywyU0CiMP30Eu5JeuZir7
ocUMox8QObcetsRQ+2rWP+4gveuw6RWGiBCNmgrv6ymCdymIk9V5w5UNOQekWqaiSrHTssJxv8b6
RNwWh49R6nh2qeN50+CFjf16hUtAVyR8cPy5Cec6hak49bSQCR9RhaU6PaUaArj5Mgo+dsBvNr0U
8F9Hv58UmJDALhdvNnYmyVPCE/BGXF1WLEHZiFzC9fyAr9XLOjcpKrs8i4JWn2bdka+j1fzk121J
fsz1ttLLYPpYvWyGpPyTHEmSvFBbUfq0VTKF63K7gaPCLpmfIygibDyZ22cwNFJ8r6GuB7ycCLe7
OXkIVWNUYzrsN3VdOV389zGFs6Eoeodh8C0BAyn7EC3JMq1F2zE4iYkUTtBT3s5t5wOwWDaAtqCg
k8xuPq/4ln1/IzEGaXA6VF0qc8VVduFKdkXPF68NpilrMLl7Zemmx3Ce1Nkb5KgX3ou5geMjER08
1+eezJeGxtNSwGWRwXrUy7U9oa+R6ZfU0q5/zJYNjZ+Mw3kxd09dDPPzLI0TggrKWkppkcUwi36N
YM/KLxBYUctjR3yEqXZooa224ZrZOgHuFhywYSiuJYfIWtjO30kbgDNjXMKG90mso/QkqyluvqP3
SVsEjWa9O01N3E8vag4F/wB41qgvzZqAJpT1MIl/2OKAqKdIetid113bz2DMmKBnLyOCVp67Qa7k
NsC9cPwsA9iHwxmVKcHjPNEsG15Ca1X0nTVVla4wUs20KL13Ln4ITc36PxrP17iA5n0INrrwNMog
7Rzz9kdlvVAiV6NKv8NWfBw+g10Og0ncLuHsAs+jX5+B6ptS/M99wH70jXHbTZNhXT+oLYS54iAR
ST8ahm1+FYpsLzYLxSUkY9q8Sc0MD/gwrQf5blRy2d56EDxIgJto6Aakp7sSMb9N3nbdT4WbG/nY
8JGuZd83bVWOJIvM4zxmCSkaRhn5knLCsj8jr6oXUMiDB1wjbT9AbdF542NxEhAICk5LvcGTGx4S
brtCPIj+0cJBOjsNLZiOr8kq2+4lElUd3Xxfz+s5GGWzXLPVhLxMYEMbfg55pap3cszEUAyrDaCJ
2IQZzH4zzWHk57YpNs9TuNnwRuFc2X6EcUfVv5njLJGXUKo+Odmlccid8BA28gL8dGSex8zxHy00
AbqiwsjQv5FLaJBKZL/4M497a8QpxG2Ve1QNBI4vlZgH0GuCxIkPMp0ydtPDMPDcVoHh36XM4HEp
uknZJk+7qAphdMTocpvglG5P1pMwOFn4Dkd5125++EJthjc4wXU2gpzhgreoAzGZvFmCqTt3d0me
HIJ2m3oZPYhp53gw/isJV89hrwYb2LqAFQR/RrkEl2qEcFI0rSS64NrD33wd4c8IgSOtIXmWU7Vt
9c1bsGQ/rPCnM1UuR5ssyPfb4Pse1tQ4pn2OibebfsB9m8afYMFhcCAoqNVk8DCup/uHHOxszjBx
xE3nufNExzm4n11ctlmUqbNzAka8uYDr8fbol0lgagEfZJVdwwq+sRcw2SSMneGyFuSbqevgPY+V
ISfJ+BycptBF2SlZt635ZGAU3Vyd3XxWzroPqtPoSbU+UZjlvA2jqanfY3JEVpXXbWuzC1TjhX3I
FDqYlxUjsfTCVI3zzlZVPALnzeTypEXYqKLfTGRhR26SALwFM1W1B3sO1qDv4MurQcbomLVv6yVM
yLXHlXHz0kPprh5ztzIY6EBXPB+9yaJbRLPJvomnMei+kXpJ2yfe0gl7rJO6lX/Ch37DTtCQbJvO
vUhrd8EvW5pzrBWbPnLlZPUwibqhN5Boefs8GwKDrzPSUctP8GWi1V8bpJKhaT7JJr5OfS0EsM1g
YGGPwA6+eZCNXYfr0GgKzDABhjg8TwNcD3Nn1468x99MP7lI2uVrC9F4cNIzIntWjJBfhDE28lNV
LNWwvG8It3CbzwZwXeKuA1hVO5MGxTrMFpZypvcLCCQOpsy4UEjlW7xuHL9Z/Crqa9ARhpujulLB
/EHrre8eAN2VG6qiblt+4NSYOgWNVDjEvt5vamhYUDkm2zN8l5mekIm3tbqlDT49hGY53M2ePBLy
+AbuF5O5hVZm9rpYnsX3k3uR0AQQWMZpym2GKA+hVye2WRRj7WGITrOlzXK4psH0OmEa+S1X1Dfm
TWijdPy2mWlgTQ6r7iW+rYyGywvD7pd/NNMCCxr8SNpXbxTGYf5dqrCIDxtpzHLq6BzbK85/mABj
cYl2Z78lCRzWY2X7DR/TCHdxXgX6YxKtVr91WDP3MDaAhb5pXC3rAmbO/fTHMiQk/qJJsqY6h0JY
2A1YKdqKPztopoZvoVrPsm89lFfUVzg1K4L+CoKItNANaZKrTuy0on6TYcr7fAzmFUdhu+D4QLUH
yVgexC45TRBp6Fdg9JLgO1TlV1aEONSb2zaP6kMyY3+fVehbXtTLhpmrTjr2OSbARRR0TaumQC/K
Ejgi9slckjaJucvpEurxZYDvLijHEeQ7L/Cxb/tnqgcftDkHA+tb0492ucRRzdybqAsN9Hdxz5p9
YGnn5cW1cMp5OxJJ/0gnuLycJlZhFJDWgeUvazdUySU0jSdvcP9E4fOrkml7jJpu7JEwGWIDsHgA
1dJSQUTVPFe6zYalSBkTb1cgX4IC3tHavZs2P4IQDd4r8QVkDCsF9/CoHt6oCTOmXGrRjme6glfb
XkBRi85pRbvuZMKK4EvUso2e2TzcnVz5dC9+UkArpSiy1MXkpOcxjOZcbcv6uUlbqCblmwZr8cMA
chv9JCbeP5luRsVVSNEERdRAFW4tkN0dnLk5tZ/JDNmDq+B+wHmfLCHKdAoC72DzlcJI/VbjFcLX
ue9sUpCYjye1yrkr1YJQ/xKHxrsLSVQbwZnEQPIsYjVNT7QFPDifaLRdMhxG3uYmrprpZQZ0KusK
zXXSPqmpWt+k690AdTMbfZzSVIXnFA42C45RlBwnszGkfd+6QNwU72L7YW6ryL3rzBwVuCMZyde1
rbwrKi/ZFeUaXDMVWDTwdKe5WRp5lXaAsAYDrxqHLS22zWZD3sMMiZ+sCclVoB747HVCHwWklOBX
nTXjVMiIcAHN1oHkfc8a/pB6sf7JwP5pnglCR5dbM23Z8xgQ8zb0kHhFC0Ttk+Ap2VA7Rcy8dcEA
2K5dkoKDRv6M+xyQtWFeSqFGDhry82pS8rH3AdzBScNVrvViH51qszfCQ0H/pLCNi3iZfUFkVV8Z
Y9nTzMX6IKKl/boK17zPaGuKOuSvbWz0x7jJuiwX4TABdjK3So35EtaZn3KBane9rLCqW6/cEfGJ
R8vwYJs1zU7YzrzQ27wtl8408cMK+CL76IM0eS9aD9TCidguCa6VTpxv8wo7NwVNfpXhn7WtVvsx
jjlfc1frJQWUM3J+he029ABu7bpskE1JTbQOcNYdx4mgj6lp35wEd1Hw4CIGNjZopT58MDKqspcp
WCZ7ceD5h5823hJeZCtz9nFmQyy+onLV4zm2JCDXoR5q9tQsroXZq+hcm/toMOknOrdD+GakMx3O
kGlYO0gSTFze4FaftV8CCS/hpojXOq5P4dRIGI7HNUrRzM5JXZgWNYrPKxpQ2uZrvM71jyWN6fjk
lt5t32FK5VEOSZvG2N0tYise8gaEoeYMFZ2KlCZt6+Z1idD7n/uOUX2xCfLOCR2NSG7jHX53HhNN
6BuQapr4EfhZGp2ibImzWwTa1PKzBhhbv5knmw5hsWbCyYdpnGjIcwiKpLge3RrSrq9ojROCLhiQ
ze1xmtoJeUF2iY+eB42QfK/QrPovKlbZjcFvGw2y9smXaKIq+KpxwYo2eeljOC5iCC0L7A4US3k1
O2T3yczLyWlh0s8cnH77KfXI7X9M05iR5hQnY4DzquriwL3nfmsWkQeEJDS3tjK6yCrakpdpS5f1
JwPdv/3T1GCzndMGtoXv1lYuGQQH4t68hcdzrJZz56DuWmZ1QPq3HFGGjBhSM6ZIT3JJMCyUsHiv
rw0Npb9SJVWoT2wzKAHylnMuIAPfo/9AxdeMxeqGey0CGxfrXxtrjPBlpoQyn9op6N2lbwKb3aYp
m2N8sS3z5jSSdnFfVRaDi8Slyqav1qvRXQYBy/siU3P0WI+i4sWIi3CYvzcNE/gkSQ0y4IQpe2EG
N6IoHTnkZD7NG1RyQZAeq6dekLH01ZK+GylZLaqDeNuGN2vbtrmBN2gOUpiYKfzF0qa/rD6N10LA
TnW+bXRCgyazOckn6/tgyO1s/fSaRD6RPx2sTdLzpsJQnri/n6u5mOAxca1QZj/VkObCrqORpg9V
A3/Wx0Gs/ecsxSKcqLUsavOwBuTh09RuTYAqdQ2Dctmwr0vUAVHyYHEENN+8p3WJFiDKvvSQOE9k
EWcirN8NLpYSktCR5vWcY5PFtEiRVVd0cwGIc1sio/olbXy4FQYB/1FFsT63Vc07hFo1P/QhJhjP
mFfQ+G3aLVw9eGey75jE/IHSwxIOSxUOCHgPjxjyriOi+go9i6Y+CY2kWDdGPVsbojLbIDDib22S
ymLYVhiOgNYRXuvE0PZ5tHRqn001T4/zMPTNNxhE27+CUU3TaZkDfEa2JJ/UzO6XOyrF2b4w/4mj
lrAnsY2o1YFrskve+kRfQFbOeN4MXqA2wFWlg9ldumBei0w4Yb5jmxcPlgkcGNP7pAfEb/NJoRjL
SQwE+g2j9Gx6omM6Bm9pAhAfQEFJJ9zNcSFsi48yr+EERnfV1OclpGmTnJuU169ihDf8OQJ7Zfy5
OKJcEUhMrr5CqwFuuCZOJ3buJFkJtmZN3psa/Ui5ds2UkwYJdMjdbOBiJ8gsf6Sxnsgn6mfpilVP
EbqdhLVuyRuXtsGXuo6q7+m9NLmmC1jmH1c+/GVVaxnK3WyMUMxqpuZrBk+QtMi40X/1MUI2T2HZ
UcAWJGTnNvs/7r5sOXIcy/JXyvK5GQ0CBAGYddYDSXeXr9qlULzQFBEKElxBgvvXz2FkdnWGJpep
NJuHGat6iZTkC0kA9557Fk9+B/9ytuAizHIDf8vYQyuDUPXtRMUoPprEUdAfaxUDGXRUCWcka2BR
EKEoKccD9+v6S1FMzMU+56VZ9QSnNpWFtE1HdpV13vwVrXOyHNuCxm9lWiyKI/97HuipTEeveXRi
4vM3F5EZ/CtayxTISJbwk6rbHHsHSeeQJm4z3rQqFga6DsyWvMRPyI12fB9oNkoPcuQjDEW3amh9
Gk3dQthm8Ac7BEXZT/fwRHa9Z9Oq4dZxPPssY+E+gvvRLbs6hgjoyqnRGE9FOQ0b35Mw9F2ywTzj
mufHys1Ba/MzBHDD48Sr93WqVBNyU5VjYJw4/wil7hQ0HOItY7zRP7aTcW6EP05nXy2p3NYxrBc2
BZ+nXYNYiZ1rCrL3kMmMPa9i9ilVCZ+vTVJDPTwM8PsJeNPH3f3Yw+L1EwxE0JzZefTSj4CGmQj8
YcZ1oGOWYVtQzGU1Kg4B/bEk3WM6+SgSGaCEJEGVkXEH9rBicaIWNHi+4TIBbjIiXh05JaJd9I4a
Yp5gv57ld1TWEIFPSGC40/ggAdODa/oQ2/bcjUELbIxdmzwVXsgMPs5jXcdjvc2aOEtD6gkzfl65
rvu6KsryOAmxFHiP3LF3ueuNxTVLxIiCbdZsK6Vx6itQKMV4Cyi62mCbqKpty3lmI5oOhQu6HIJh
N/VIsInAH+OAewE4Ija8Nmi3R5CWh3nu7qyTZkNY8d4tDo4zlMsO9mPLV4cjNikoEA15TJZ6wvKJ
JS5HPpJNrrw+bJpuPLDaRcGZ6uo4m5Tfgb3cQCEAf0fgHDBqYJ6IPzoL6ORbCYXM/AicaRpwEFni
fu1km1CBDJx8ATxgi95U+woTCv0pXRpbhrhTELzLPEVljh2zGMowbWID/3KYF6kzLNKkCNXom34/
1V4jdwIZ4IhGjQdf6sDhsD3cjoqti9DJhiRBumKDjgmbTx5li1XjvoMoQwW0nroCyxjzrrceZ2e8
N21HkmiAozYBE7OknvtUe6jQomFUbRoKb/Ch9en8OX/SPmxqIgK/ef2xAKDhBWXVp+kjmRbsHonj
+O7BF27Jw1LRgkY10LAhrKsB0FYAEdSURBnEheTaM00rbxEIoodghgu02fRzzOtgpouHCkYZt/vi
tEhVCDikHuoWWTaD2KWzGcUXH19qfLYoUP0Tt24hQq8QOb0pkpHANNmgKUi1Lcu7GQL+fEszS8o5
4BDbDwAw02pJ0Kh3gBzwUE8oCpHRHjcI1lY2Pqc10cve9chUnZUBThv4ho3wSzdp+0Y40+mFLnEF
XlJM8uqql4NDb6CbFD7WVMuWEfOfajZb5DeO7RZMN1OGmKrw/nM1ltZBQOLSyb1TAE75SIpyvUM+
Gp/IbZXJIEZFA1ZeeuCHeQh9RWf7AF4sLj0Sn3I0l7xzqisNnsXweaSzslHs+3G3G7Ffj1HLjck3
BWOyiSgSabo8aNpyTrfoBgt1jD3Yr4F8WazxYEhLq6Ms1Wo6xB0RMoROJFE8ghMDwYLScYl5Nkah
dXLwh4ktqFk6410BJKgxrW9Q2wXAYd08gGB0yaIGj0Gx9abebd6E5nnhoHdwvY4h7xYmJt9MXhbQ
c+WYkHU4TEvUiV7oFK3a+dTQedrnrmTyCZ7RZXca0dpPBl9ce5mHGmRi9TUXupieHXwb5QSp27G6
365u1mhIB7kM3qVfO+hj7NT5hOILfFkYTM1xklzPpWvRrLQ987HAvRyYlQgxa+HoVoktVfVFz+iu
we2bRUne2m5wGhQDgqNhqjtoGwek1dTtwaq6l9ccm0eCUlFmy9c8xTTiU5aNdb71Eq9yRlxdwypk
MfutvvVQ7mMtUyU8vjUojZq31Hh8lEHnKrg1j8Lr5YMLfE4j/gX4f/dZtV6fPxmnr52bOsHA53ZY
G1U4FsyyoKEYGvgaQzZn2mKflph74SHxDNu2Ao2Pv0GOYt8coQBM+BgumCHV6HR1K7SICPc7eRwN
JkknVNfSP6Es8ux9VWR5exAJG+u90yOY/RMjJCahv9Zs274unT4oBB2dU03gTnXr9LbX2ONgQx8q
VMbVZu5L2V607SB0KTkRw8NSgNIYSmIx5NGsqGAx0yZO90X61sQPbLTY/CvkG2TDcnAWxHejZIWv
YbEfTcJm1FOIuA5dMXX91VxXil21QNnHXZH7C3kCqsj5QeeYBIaGlCAAbKAnJq2M8GwuwLZWRM3Z
Ni2lfcj8MnMCrLmzb+zsYdbIYY+xJS6o1c1WOy7mPX6FEc8cFIhYk8HcTIZHbSq4d9VNvVqujDc5
pIKlGx17BUwvQVZa3Ss3O3G3tfaJW7iqv4nE68sTClsttgVPe3U/jhjNREUiswTqRBDSbnRVFf4x
Tooqvx8lLsxxpjK3B9IjUuc84LNSJJrPC7/JelEmhylrVf6IRk/HQ0h6VMtNlNWyBGztwaNNk7DH
YjZOCO8PfzYR5oBCqm0OOuBqYSxe4GBIrBsqBQPMclNiFGT7PQqwFhe2E5lpb3BOVwCeQcbBKA21
m5rvGS47xFWKp/nyiOlJPG0HrOStWhZxQhPtO0fqxAqFnU/gXkfXMZ6kO5L5vtnlmWj4aSlqKK9d
Otfdy6h7BdOKvId1yLZLzDSngTv6XGDGSUG6Io2VQ+gD2LCfysGT9KaG7YKl29Xq1QWmMXGEu8t2
UUMWqnIc82gu2zVRrrP+hbexV+09KHnHq6YyPYuSYTbViVr41AAiJZi31nMr+q0GiO8GjnVdZ4sZ
ZaejQiYKbadprEGFxErNXieBFPljvCTZdAdLBq8D9p7G7fKVVZwln01ek2JPGKSOewLUtznDNaDt
HgpYUqO2qbg3nVzPsfO3ueGZOc1z4lgAfBOV4aJQjgTAl3vMVrS1IPs1nXfuSWnHsJsRHLpv8RGy
qF8ozUNw433MzD1vpdcOcqvAbL4UA5KBH8mYJ/bcdotbHQRi75b1bosYWgfVzUiGt8LLPgPmc1iU
cekYC7NW9DOhrfC0lxtU1jkOSGyka5s/tma8Vk47sHB2HLfFYpFNC7mE4esVVAZwFSqJlqtrK4bC
gd2AFvprv56PX0UP+wRoyXmyb2o1uwHBflfcs7alHdZewsumC4y0UFUDYkJQlEiJJhGj3AG9hiVN
fKGp6MYttlF4IQ5FpYe3LpvMdKoXUfLndup9D81Lk/WHeRbL9CxFaYbr1cORXdmyj4MSZjdNgGo0
WcFyMw04czHAvJHzrMTBplAaXDAoKSF4R228ANpqcqBWHMGVHu9eIVxtZABhER03k29yoHZtk96B
JuGiIhoQynyXgdmIcxEZG/BuVIOM1ZMwRIFpXhHMs4ZdFbdN3QUaej8vqCV4BCzE7Lvt3wAkJQBv
AdiQ7hVoxaKdwO9QvmYBxy7bAUMsaqg9ApjUo+/cTpCHIhyomjw/fYHCeu7boB8RYtPsyqHjOgvH
Bv7hqEOJP3E3alkKKkf0H7btYM/rcLnDpIp1IQEjyAaO7Jo4hFEye2T4a+c4jGli9ipdsd8E7fdk
1j3Ti69ratsN0IKlB8naiZ39f8T9RKbZesUVjLqnKSJ+VvfBMqf8GgOrqo/8GOLvv8dgeh8+589e
VdaVLTZEfcy8B3/4e+T694ZCvGADxjV4XabvJEALzf+mhOZ96FwNt0YVayG2OCYJQCQ1kLPFbm3/
QsP7B4ZVGBn8yLwCFEY7MNIwmXCw/pq01t2xHJ0aHoi2NQCc6JAhFkCoht5MFtAtGqzMIWHtTLhP
f06hWllFv8c2ekcsSzCimbTTim2NNNMi0hC1nEEebELUaxg/YhYn/8Jp4I/IVO94Zm1j8aiBU7yF
IUAj7ru5jvvIJKhzoxEnE9xJYf9QoCqd5uovrvAfkCzfuxNl4IfhNKF860tkcnSwndk0wJr/4gv9
0au/Y58ZJPpZkSoO5kj5OW/dp1Ga+O8RZ8k7eijK9KY0Scy3M2I/grSd97ov2N988XcMs851u6ru
fb4FBr3BIFUHsQvk8c8fqD+6Ku/oofE06I4r7W8T4lic6UMcuClO/7/36uu7/obbSnPDwA7CdaFL
CW/eTiFlcqnv//zF/+AJJezHF/dbtxzNlOFxSYWiXy0wpTEk/kyRKyRpaQLTg419BZETN38rno+9
tylKZTIKeLbwLeJQ+bPXtPaSuYBX//wLfd9cf2d1vzcpEtnMAAsl3raUKgUCrap5xHAF/3ub3c5/
8lB5479Unlv5O22yh2zRDy6eNH4VW92n6FWSdIN0xq/TwBDdHHQCJdkvn+4/f8j1tf/8L/z7S23Q
7Cdp9+6f/3yoS/z/v9a/+dfv/PgX/9y91ZfX8s2+/6Uf/gav++v7Rq/d6w//2KAu7+bb/q2d795s
X3TfXz95q9ff/D/94T/evr/Kw2zefv7p9WupqwhNT6u/dD/9+qP9159/ArtwHZNgXf3nb9/k199Y
v8XPP11ek9fitfr6+3/39mq7n39S/AOloLsID3QQ6nOf/vSP8e37T9gHxqjvKSS4KS7IytuvEH6a
/vwT9T8oyjGaUCBHEfpdmWTr/vuP+AdIM30F2hSGfXhJ8dN/f76bXx6XX+4LLsqv//5H1Zc3ta46
ixdWP65xIQmXwBkA21IlpQ9T6R8XzCItJQNCiPcA7+ZNJV4TjFICDceqS+rNyAwteh5VYC3UIHpG
EB4BGiFT8TohoOGcSdC7ke+0Q/BDFaRmvKlYlwZeJR8Tr1QRcAMxAV/GLA9z4HCECeHt0HJECFIG
wxHTF/c2xWA+U217JVPvJYN5HrX+ebZLF0iuN6lAfm43xEjYmAK/KtmG5HELBmz8OGHUD/6eXwQo
QU8lm/1Xod1iN+RqY2sMLnKplnNRLmXYjeCmFsWcBUNmr3pHjtsRDp8A5uUWHbKbgOpYMoAjK3vL
FRESz5yoVuNtgzE27uDXEYAg0hpOIM1uZkvvoJc91q1JQqjRQ9AYv4HTMB0wmMkWDJPksqNpe49x
BL2udVlvhwXBA5PQj+C9BL4znnqOi6k6w04ZGJIhEmAvXtXtGge9T2WaM+O9RWNelzs9dV8AvCyX
+Mkqhq2yKdQ2bfqD56bFBWjbk8/nqGj6TeGBu1t6DTa66htsCJdI+Rmsyd1okj7Iu9kD2HH71JQ0
akFMiQa0hsRD+ews2ZUz97cO5cMmsXZ6BAGV75koN6anU6TzegOiDy6NaJKrEsPre/gF3qVs+Bzz
WWDc5RXbCchHmNWld81haQ8AbMHEFmOFEL1VtpOdF4cFl3xP1TI/sLK+Y3njocVkXh9lZTrfI9Z4
SQN4HZhd52TJ9eSfVckfGckA6mV+dTO2iLHthuEMisA1+H9RnvvPSTFfigz01q6fPARdt6ektXsH
yCFZkucxGdvjpDcYHWvcKntp2+5bXt3DNcBE8K1mV1yYAhDynG06d+NN6N/XTL5GASSOMXyAXKS5
zAM55XwE/imqQErA/s28nyx5jMsnWiBry6QlmG/++t7ZviFO0GLo/Uh1CwLePPAAvHZqtxWITmEp
R3fXxAQAh/sK5qM+Lq76VmTqDAJe4JHyAIjzhnUyHKoMSgF61y6p+zKAfUICXeuN1yt5r/xqW8Vx
g9edBTg5ZetcLynjN+64dFutYNRRgfz2xXhNf+zaXHehnbl/UzTMHFhs52PmtfKVo4WC+W+VHB1X
yT0Yj/0ePLDiOQN6MiAdxupTSlOyT2GCejWLNnkAiwcABvaaPavJ/DLntg7nZqxvUtj87oWoik+w
exL3i6eXsCA5LOxN5R9Tv1ZHs5YUQFFh3eK6yb53lukMKKF8WDo9PaD17eGNhSzHsp3tthlWPk9r
VPsK0r6IGjcdQMVS/Ky4Z075IMdbt6/YhbtLf+hI6764EBJsRFJP26lW/rEp/Hzfori7Xto6fWMA
Pb3AlnP71ZQ5Jjz1gKu+9KM+Z0aNJx4X3bEAS9wFL3ogN1JO5G5k8FNwY+qeyrxOH2fcLJBCeXvC
oyJODJbJJ/CEcZyaVrsh8hzEzgVP9qLwBeHog7MMjEvyV7UwLJ5/KPWlJ5UCM1TgFJA+KKrv+5o8
x9yE2SXZyyQpLsZr62Gf2cFempWq1MdkiowLicBM3T4C93aJRngtbDBUTzZe1z9igOZsCzY3WAWZ
xQ6LEWTEE01QNynwbTydvHRxH0945hJ+A5/K7NiR8iJiMP/BMl5ujA83Qw9U6fOcrHTpJn3k8VQH
LTIYruyEocjgwrUqnflD26Zp0Pdjee33gNmice7jBzOO1NkpPjdLaMXSVFFa4YUDOqbKhL4w865a
0rgPLVC1aUfA7Mo2A6Z0L46bNhok8aTecGArj0yALW4pWACYFWwdKu964exgvV6FKJ0iU60s6k6g
CgBtcqfL6uSwBAh56YJt0rM7M3Wn1LT3cQt03dSkC8D9OziFnsKlivUGc2UoGpx+CWHCjdyHtDza
xRuOcVufhMbyh+8OGgibAOfWYD337bwpObwNm9FPvqQDHw/VMHpbB3wvdII+v9RzBsRfucVWpHl2
ZxZASKZPME9YRrFTgPTDfgGPD8msPjmNhovT3Gf2pLmjzj0n6WNKEnpC3wWzD67IXe365CbNGQWI
qMHPwb2eTjBq02cAGursAjUbA/BG7FcBbo4XwOAnfSsLILNTC9ywXVfKvK4Zua4euq6jfl1R4LH0
B8hV2CV3qunWNLo5eaTC+Zza4WJGHJUVCLKvEOxYzJGVZ7f5uoIBR/UHsq7qWOTVw7CudO7i9DED
jJuadR/Q646AgYt/NF4NIUhTrc9BI+/luofodTdZ1n1lWXcYb91r+LrrdOv+s6w7kV73JKApZJ9L
V5+qxMeWNXVt+dzKpd8DGVJ7A6b8Eb4lmCjC8uE1K+h8NLFjDsTPxQ3IR9gYFX77iALE/wJUNt1N
mQ/Gk9H+DX7bue6h8whBqPfgvu4LUICA9QBkjls5oWtRqFBy5eJrSwXKHRBxkY1boZFPG8FgzS9D
N2HtfAVycTlcKihhQsJhwwdahrJLRFei0ZU7qjg7VItNzDNmEJC2UJ6bDgaHLO+u6qQdkhMtSDIF
tdUegKZOQoYBuB5VPxzDVBWQxIFHvEzTOYGXG6Qpm3LhC85rzhcStp5fIlqkymC0DyLGNYOHzlkC
r70FUd3dForZTZt5LoiRLc9DtsQl2TV+WhQbp3XlGMbIOoPlgYk/s8FvRjg/FQgHasUCq8e+hD9a
OIDFWmDqMZCPC3jg4PWllYu9BewchUfMbdxTyzp6l3cNrkvV3Ip4XsIFE5kNsTN8Oml1ZbkkW8T6
PnbDyV9YA+M+cgZObs4eCI8BDEHiEDUqxCatjpEIg2G6i/jCwCCyKyprMwaY6oLdMGSfTK6AVWbj
FxfqKkSeYMahZnoTk2a81B3WKLKrPmvxuWgcdYBWS2O/mWk0dDgGWN3ALVuQnUjrW6Qb30FTo6Kp
kDduPMZXaSl8BNG0ZAMtkzh2/uRfFaCIhVqD4COdOxBfceZpl50cnP8bspgvsKCCiCZxYCK8Mu9A
nrjBcQ59sdHfuDeC7g67kACJUcsxyzGOn8a6e3IlmTGCbeZvqnbxDPYgEbAQACL4chBHiF+tYH7t
pH5oDf7Vnf2NDu6sv7S1rb9171u4H7q+/5f6PAYJ2Z81eVev7fxavf7Q4/3yN780eEJ8wAm8OnJx
1wOFZHWR+KXBE94Hz8ewkrh4C+wCq4X0rw0eIx/QcfkgKgkhGE5yQCz/3eCJDz4cSJWCxpeo9Sf/
Rn/Hv7v7/Q9sICBCpiCKoL+E04JUgqH9/C3akrs0pTk49rtscOS1IKD9bMulKrcVlt/HxO/6F9Ci
ij3cO+D4opqYBnzy1jarGa7agao95k/dvfLwGmuxoJ4wXWUf6ViJy7IQ71Hz2J4hXWF7aOizz7V2
2AWK7gmciTa58kt0vuhklJ7Dxu28r/m00B5dTN9d/ILQBw8NXhNop6y+zbOhZ6DvxQMt3HWbIfRQ
pcy9sQ3Lo34eqqiDhG6fGJlg2h9nT8jRtYfWkfETMWl2zkC10zDSh/sLzoIKQ/sNZrYyyLKORFAp
rmR8OB6yjLmQWso45AnHvKGCKu2iNIMDutV15EGdGUGVmW+YnMp73bUCFUHWXXoX/FwVQwKYgmc6
a5zNYAGbM0N+1GEC52rLy7VIpYMHPDHP74eOdOe6SxaIIP3q0lDP7pPCuhsB3+m7okq7PfYcApID
AWW85xdI4YsLWE/DrsFM8wUqNmylTjUcEkE96Bib/LooWHvFIeMKVzot+tZueVWlV4DSk5ltDREa
WDbtHHSLKDZx2/FDC4ThMc7Nt6rqMDOtMK3W4VTm4wvppuQJ6rjx4wzt24NCwffmLh6ocp5czIBC
zy1RRBEq9B5DxNJusf+SlxIVuA68MtNw+V3E9Al5kqhv8tjTN5UcgBmg/DgqJ502mFrJGfzQReoI
w1gVzeD0epAxMfDUHK8AZAlArjrhRCu/ufMEzGpwKcJXa5djmlxXJ1YixyqeeHNfzLgvXlMSlITi
2zxl1e2C9JiDM/nsnBdJEpVO1T3jAE82Vqr+WQyZfgK3HCSexrmjfmaOGfSm35xJgzJBMnC7sn5V
32bJPN2C1Pg1TeUnzkV8Nu3S4qaL+EgBpEX9WPEk6LIazUHcMUhZhTD8PAx9dpfW0o30YufD1Czi
ugRtH+6wQCcqNw1GkQynAU60ry02+auZeuMVKCDpqZ1NvudZsaHJFF/VjgUPDxpu/xZk0vp67Ebw
wzH4gSdXyl9SBq7xJl8G5yM4G/opMUW+r/Jx/FQqn7yOKJCDNAWAUYOyf8Sgz0bgmUe5z2/15DZ3
GK+ACdwXw2uGscATn1i6a+uevZjBJNB8DBjmzwzMOeh3NTt7JdgzEX7VXBILaCuAji85shQEIVRe
5ppP2t7Azdc8xzB4tVBMkP6KIlAtg4rE5Ft0kEGMQPEsjEuUFYmDGR0ExSW7poxPGNd/5xhhoEqD
gbrgeZZaHHqwhiOw2eozxngNpm8ZvYYo0IJJDMylSzsQOwbRgnIlMo4DG7K6c54metigb3PfYoD3
b9KfQZXyeXOmYCUAYEKSixvCn6zYgINmmqiycCQMR5+Mj7oFkXnn+pIUK8csF6icoC0DEoDaJmYg
g8N5rUmjvhr4mVai39QFI9seTXcV1aIjPDLAuRDUlsHjq2Ni0NtFOPLSSbcBCISt+EV4dAEwP/lz
FeWYnC/BvCQQqg3FyKHA0L7E6oT8/IRKuf7IkPgMDlKW9CjMhuqrhXZvCuMqoZ+8lk8cwJBNX6Z6
zWfEhujMgagyMcCmi/biBQNClA6pw+SjSyi/5I07gsFLl+oA7hDzAwyl5j0aVo6MCmS0osUAyfsz
6n0KxTI3cCRNeSk3qpCQUJhenlk9r5v2GIO0r6eq0BCEVdO2p0j920lKJoAYVDkvfoopW5DXExC6
2bUTyJE+CDpXWlODiFDiNJexyJCqPk0dmzYJhedHaJEw0YIdK8GBwHSnvtf+UGHiLhfUSnPc2s8E
VIIMDZrvp0cNaU13b1LiHMFsBAUYcph2I/oUfs7wsQZ4lOQmCz2a9y+gsPhgtemxQnpuP3qo0O2c
hgAuIf8llsd5ECPLDnwnxoeAFrl7mLPC32OighG8ZXr61jp+9dyjDtrV0s4FGJAcQi74mRd34LPE
z/2o7Bn82m8NohBfuVZ33oQk82DhiSeCqaj9LfgC6tDzfvo0ywGaZRDB/E9eTyDKTcp83hM/ETFG
0ehIE3cQd6sDrbxBrBEyysEVAOE2F+0IOoHCF2hF2u2gRIHUDoWqP4YFNt9HJ2PTEZKd5Il4umqC
vvAsun4Cat0IGuUbKsg+YGqcOtSjKdmk6cjPDtSbIgDtHLoJ+LzxveMUWPctFsJHwwv/Ye78/AgB
DgS/JSYKUGanXj3vljiGy5+buI/gFaXnvOQAOMCqAEe68qvsIxcDPrMoZHnwYeFQwXBVx0ArgSYc
EALVPMNpqPT2GuMMg0AfCFBDBrmMDVti2SlHsuGLwwpACg6x+IB8SIqvjTNAZDVBInepnAErpotd
YFNV0R+xh7qvxO3m55FIuYdqfYaEWiwZ9t6KedA+FWhI8XD3Lwp/f2thqgRpJvqCneDceWlACD7S
WZLHsupw6KHj38W6Uk8JwtYfiVHFLYS5iY1G0FoA5LDyjIYLwHMd48pi0+2uwRh2h0BBs/I0DN7c
RQukNJ+cvMbknkJ7iTVq2D3XGJwF2BWdzxV8S5ZA+t+tqVTleCGNJUoF1XfFq07NYnbOMGTtJutm
pP9luka8eUZL8rEDg+y+rgjoS6kny2d3jMFFaOdR3GUsS5OtGGH3065dWNDldX6jUhdYKtK1Kdzk
wDE7wtMPkp8sS2/HLoWc1YIvFLWjjtxsKT7jXsGRaJmkeRpth1Ng6HC+e+5yl7cp5A45q8s2SBp3
5aiYqr51wOKEnrRxyJPJctaHSw8LwiFdYIE7xUIkV50G9+cEg2uAITArS7ooRrrBNWlyvPsoqAUe
m6fxx9ifin2ppiGFTBdXFV2Seert5N92o8YAwYAtG2TIArpxgeSfl4lgRyXSs3dgsJi7ESwPfGdC
6BajP4kVn8DQQqezf8oUQfPn4YTDkwGY+srJenfr1m4P68Eh15tsIWDOChfglM3a7Np3OdD3RFb0
dXFF/eQ0CrQ817fk4rcTrohCrOSJkAlXyHhGX7lTIl9h98m+YEqDj5WorHtS7gTczaZzGgkkGX/B
0KW4gom4etJEI/RpaRxsfh295JAvn4sZoFnk8GIBdg0JL05ak+9K3y11UGZkFrs6s+oUq0keJ7A0
VbhQBLlEWqf201jkKVQ3lWXfCqOQddln7MBjJ/m8dHSGegUAxYkCvEklI/t5Ad73f2fs9/9d08h8
d53P/vFk8BkTvn8EbxXmg79tHH/9u18ng+QDQb9IMBgULvrG1U/ul8ZR8g8SXRuOf+XC3RQEnX81
jlR8wLhQEEUEV3TtHf+ncXQ/cA9TS4kmTsICw6P/Tue4Egh+2zdiwogYD18xjlpJ+O9topEHkTQF
4Gdkiff5tiGZCobE1xHXOXix1fwXBIzviPW791t7VU9gJAmI+L0tIIrxeO2KgZ/nNkFMaZ69YTGA
V+tWZjMhbygq48XilMNvARidB6mCLOX909LGRTgOlD3mA/bT6De37XcGpO6PSLuAjFp6VGJHIZxS
tNHv+mdlgbll8CPajbT41AHIjVyIMQOx8CvaeQellnqHyrDdxuA9R+l85m3/7znG//IZmMsptjGY
0FL+7jPkqxJoynq5M3pqdjF0ugdAnvXDn3/V37njHr4qlwKhPOp/y86BRGjI0iWTO1ZzdJjjs/SE
vhp1YYBk2/EvLiye0/fPF8dcg+GOc+rhQfoRl1idDMgEGTRix4W/neRUoBkz9C/eZWWqvHuqgKNg
WoIjGc8wfUdYonEOeRGPxY6n4H40+UqUKPq7odRf/u2LB4THd4XC95G+/+6NuLPgiq6Pbwwfg6B0
sm+jXsD6ZtUNy/K/YJr8zp1SwOwZV3BEJWAg/njtMMeqa2E9HA4AfcICTg9BCkFahIahCNH//gX1
6rtN3vurSMHrZ+AqIEzmfb6MBgt7aUUiMJ/24OI01Oo0ipjcFYjL2f8v9s5jx3ojbdK3MjfABpn0
W/L48t5siLK0mSSTnlc/z1EPMGrpRwuzn4UaEj61qo5hmngjnqhldlaXW2oY+0kc1pr0pGXK5BPW
BSxYNbe4NAO9x9o8bii6YI9FA2fEYwfVBoF6ve0F8XZEFRW2x6FQOfNMSQWvbtZsjOqpnWJ6sa3N
4BZgBvAv32kp9d1///z+p+c85C4rQmGyFv/t+3ge3UxMif19SobvSLgqODK6NRG13SdgMLumSLqj
0ukvo5Nmy01DPE6pE/zDW/0/fV+JGQiEZZ+Qyl9BwLrAYskgMtxX1eAcZye/VnhBIsvMvH9wX/39
J4VnzdIWxDVc3uu/PH9Zk3UTtwvSSQkY6XkI4DHV8r3LTLH9h7cWzfNvjyFancm9EyeL7f/7z/9k
+WqlZRuc+fy9A0loW45GftCs+LfC9OZ7z+CLINr+MS1nuS0GTNabPjBbkDsKVZ+L5XQIO8L7i+9z
2OsG13sYuBF+uGMbHCYPME2MXLc8hF3vXPb9WF+Umcz3SmeLjBprKOZdFZBMbAm9oFD4w9EMF6hh
MGV2oVbL3mi7dqN1K7a2C7eFf9FkmOOmtZvsp160XNms5GqAsXLD2J6jcpd13jYdZ2YGfpDfJKYs
PpYWE41DGnhrVsQRltA1OEi3/rFk+Pia26tzw8QzP6yd08UEIytQbBqSAZWnV1axbMKytwnmNvKY
gd2NO2nRjjYPzaMjdPMqBtV8UExFxWHWKsFcFcuwqicwumpcdipU1SE3++LBMJv2JjBlAG2A3N6m
1DNSFvyP9hXTdXKlMcqTSyQeOMo2+PKmjqFtYtpvpVG8KOyyXHSN2rsgrX1jh9q+9mW2oVX6AHxC
HtRo2Q0rQCruLSsAEWZnXnBhOnZ3s5JxjdK+9fZdq0ti3n1DtwxXeMhD+QaH31CdxhpqTsQqtVyG
qIEElstBDptBJIMf4/Cm2aGdxh+OTLwnk60uM7JgEMgH67qF08NbZosBDztBT6tT4zP911Q1SLfp
PMj+ZvjMsW3pIdSE/VNQcd8cBnPEi82ZW3uuc9mOntzWrZl0UZ6enZ7tytYflakl4UVVRPM3GAvy
g0hDvVMBn7foxrMSaHTuR+KV0ybls2URGi2cGI2LNNcwUsRp6LzZGZbvKDDL7GZMW2JXtEfyc4I/
7vwsHjMrp7NobElyCrlnuX31DNZAkTs3iy9yCLwGP3H5xpOg6B4qh4PQhhhts8044hCS1HFlOf7v
SvSmiGDTKdhTvZ1grhENtqOiHJZLUcr2tHq9V29yQDk8QqkZMcD19mLlgBOxHshPD+EDMEUNdyt0
dHvUofQjOyVPPGIcuPJWUsWExlKEzNpYdQz0iLoXlcBBm9ODa9dc1mZl8ftmk7brKAt6L4+lwDoQ
GUa+XgoSdQN6wAnzhb5IeyUfbDX1cZkvO/A22aMww5mBatPvOn63A9IU6b62Dw+Ba0o+31mCpJj5
fpwRiNzbqwFYT51az6Md+BfYFn7Qh9ttPtDWobO2fQ+T0LM4oNrtkXCExmNViLgUI9wha3WnvRFg
UaYqhHffDMqrYIArkxFxOWaK1tDCQd21u1x+UNlYXBfKmg6BrZNvotNuEsH2mu5GrCnYrMzxIfFt
81DkFChNy5jtMXIjyBWZ/hpd2d+JsFsOIZmiPYpvsG0JOO8IXKOmiHDHNXe5IoFJdoWQ73b2KUzT
AwbxsTkB2w4uOmIJPfiPiYtClwaMXpOndBmdi1Zb6Y1RLuICC1P4kQee/SRWt9+ie9tupBPNNVjp
5CCAOTCl7MmuuzmPQmCkhLCI6nsNh2Mp3OwibcbXINDdKajNkgYBpJNpGIYDxVPqqselBReF8tpN
DXaR/IEucNgZFfLaUNSbGRtqZLvrdWcj6Y2Fvz6I1kemXcv8c85ZcU3jHNZKrHzftuV8S7HHdCyI
IpE2NzEJlGv45LXOuiXTZGwUaZErLs6vA7Oyfd3JOQ5V0sWpd5tU8t40S+SBTHrHabAR7kpYJes4
7sE3GTv6U6cfNQEpQJUoUVeDwbBe57BFwq6YSSVZtwmaIo1nGskR8RbrsuqRsiMvyCpMD365cat6
2tXA+KLO6rlQWF4D+0aP90lH8nCnHR8KYk+5B1DV3xmtW06++8ghad0PbdZGbs2j7Fnm3rI8dztN
NWwg1d81ub60C4VCaxlNvLKC75NEfVCQChqRV25rqGQpqMjWgWrQ+d0myykomgXoHHuYbHhuQ3Kv
6Mnc+kmKWytwrsARqk0YGGuEmjvvpmlo3xOmUbG/WHXsLestwjcc5Ul5UwSF0XtVEDvwhqfLzm+h
CTOFA6EXn+OPHKvgKT1xLmPuoXL7UHl2stf5VMUWi811Ls0mspiOP2S83jcdwoTYlIAUeDc86c0s
520xR9YZ3Lrx2zoxtySESyL2Ne8IHuXVv61cRorsVqt+GTP0XCgxxBVbP8RklhbLDEZdMV3qu/V3
EbmiuhfozuQPH5JY2pH/3Br1wdztCkc7sQW2dIMUe8/avyHSZF3zELZn6k8SCzss35g/tifgFGlk
DetKSnMCjFSl2S7PywURB0ZOiRdQr8l841fO8ygIOKWh8WRXE3oQm/ytZ8CZ6NYEAlyZWcqPEqxq
+EjOQU7faR+EZz74edceahIcUQiJ4NB3ZXE6x28Osh2G40Bc/kw5ZbDguXwpGPyIfVqj8bKkMMXS
HTCyRlSX8L/E7dBU+UaZmXqr0bO2reNuE2MpLpRmtZhJsf6yISFTqak6rERin6B/WSAAZ3f60dXq
kmEyldwUulujFegdZ0Z32RlGUB+CqpZH0mu/tRD1aZ4S64EZcbvT5nKb67E8EV504zq05yEiaDc+
Q91If9211FuoVMtNGyzmkWBtsjNUqO9Xt0p3gNy/ddgO15Yy0l2F7+TkBQXWqLIYysM8mvOeIOsS
MyHBTCnNuxZnbdzZGRHBYJx3a3KeGqZOqk6FyzchmIWJO5WY3SyKdVfPeXnhLHlYnXXpfIpnrBAx
iJL6S8yiukiUKPud6nlHsLVSNKoA7MErCnBfehelM7wueq6v5nq+RoDvvl3ZDJdtYzfUyFRzzN3w
mmribhsmXfdhd567l2Y7HqW77MvaeFbJwiRiWJt021K7c8LSUWyzhhh8Onjyae7m/joEKrs32QQP
c5OeFPHGJwd8GTS/QGwANervVk0rO/fZZS8wa8b1kE6bRrA2l7VH/TW1zHdnHEIM09OLAikMnGVm
VW8QMsbbOdMvEJL6qDYGfJdjFctl2tYIyBu6jJptBQhI1zMQgbFe92PYj3ElCD2vjX8lVoCaIs/z
Ow72LmJtkWxAqwOjwwgqIjnD7iiMfNf4CsSK+aW8/DBMVn+shkWD9unEwa59IK/WyC5sz6Rqc3fd
V4wjhtDfdbXrM5BcFuCyjRGcwhqHk6Dz52BXj0Dv5IZ5ubXhCrVRbdrsOcqXW3Kb6dbLimSfjWG+
t/n5wPzcr55mjFdfMo5pTJ7mafG2a7Ee+qZ9gssTRN24nHpjeA4KQcvC2cc86rewxz9jZ8ZXkNfP
wi6vVO49pCM7VC6tm2r2f9LyR08Bo/M8H2DqpI+9N4BkapvT2UCXu9aVIdYhhmLbXVbaAMMWWrjZ
wnKfTHbwVRMq3aXQMdmlYhU04x60qnxZ7W+kuGoXiBa44VTIuGqbKhqIsPABdvnjQA0cq5h60mvw
7LUFf7UfmKXeATpdZlb15pCTvuiko+Oh0sVOSex7Ijy4Uj5OQfGmRItPzalit1PXtlfyuwu6sLxm
nLYDwY/z2HmKhDEUG8dFvwAFfFRqaneTV90XPFVYdrNPZIcjZOONEbQuACgr6ttx3LRFlhw8S1Dc
BInkZmn87qevqhDRzD0ya5KnMHfB5ibTupdT8lnaPhdzrvuP/dmcfb7k88garveV4Vbayc6J00S6
Ox2a1YlxvMkIY8rORymv3Tr24sdZFQwbgqTFJrBCHYVKXQmHmWunZs4qTRJyuZ+cvZFyReimHFuH
a3CG4QVDLyxZCoiKYrFhflTzeXNvrRlc+g9QoG8ce2LuK/Q7KJBd13POVx6nT1niJ3ET1nzCVjFD
2/tsta8ICLxAZ7yWHllPNfO5p1gFMXZV+phlK04JRz2ZEIIZm9iRmIvmtbDGemMRt8bz+ukbzgv+
lD7GO6zBXHZ8aLp8Blkx3C4gP55nxFCQZG510FNqHZxV1NsmyZaInHLxkY9Dv89w/bGk1MXJJ/ce
LaC6iBhMnG19/U7H9rh3PI9XahYTYv944+L2Yphu19vVroZfsLf2TV4z+NWeXe0W06x3Rjj3G9B1
V4o7y67g/nOaVMLh6Ey1EPpW91ww3CZoXzNipnsan4c9EstDi31slzTAbcb0OuB4eIMlYoAbuqJl
hAnh61DAxilm7s25pdvrVZiKCfVc7kyPy3Gg9ItNvccW74+5w9luYs/rQxyx3vwoDMXVRTWcJfVk
7tLar79mXtTJ13618WY+UsHU5SAyY9iz35rXTYupPK1LdZLtQS1rsfVULa7MBWR62gH1K+3AecaT
7D0Hs/uTzJbYCKHGfcYM/qUaq/6grMJ4aJpRf0KXSG97fENXS243cWHbxr7ps3E/y5nMCbSQa5dc
/9ZBxtn4GRkqs2VIjOEOwBXnvs5/MnGgGkPa2zvTyvkadmh8MahWaUZDBselA18AvK96W1qOiimK
1xdF12qLQWaJM81RqOeKvA8L10arLjgrAQ8/AAh34fl53gkH1fI2rMuGC5O3rXh8dwT+h2PiFPaW
uQ9IEJnOt7npMoZzyubkU9KIW8G7yxCiwHDwia80TRzE6FpgY3zBfHAa9uSB8ytn1vpIu8BWMevd
hTzo3KUkVXQF5ogi15wrXeaX4RmLwPAUcliJu2oEI35s1lHvh1l4e1n17gU/Z9kOeZntV0wTh6Sc
AjyNYYLmUrcbO+c0zwXsYeqE/V6qwoq9uf+eQ3t6tcr0XUEFumpJ5bxU+frNdVzfh1PLBDfVkBZz
gBQ7q9TjBRPeJyHcF35sd1I6PILkdrZdxnG4Y4wb6wTJTcwdUGKz1WBcTANtSOnO3kpIOodQGti3
ZI4PM1B8fWj82blZnaQ7Ln3OC9kdC4NG3byMBdt0UhL5DtQANz6DPoq/wsM3NC7g6Y0pjHWYNR9F
mdlwkXLzVrStvWV2Ny8RIXB9W4rwk1nxmW48eGf4KwRxBwzslKxAUPF4IDANPuRMpS9VTZevF87l
cZwVkmibeNvWIMJjGJCbqcQA++db+WnJFsJNrq5BxFv1hM93fZ86xzyka7q8ZrWGc1YUGoXD+/Rn
6IyZGy4xDBdsTdJubio7qWPi5PklRLYCa6tdHPn63dHx3TDJV2l7oKw1u0xJkGzXus4vxDjmFQAY
FNWLah4q/F2DPd4thel8j8XUCuge5bIfJx9Kve2t/qtFXLrcOpM/u1s9ZPlvzZfMJ7u8gEvI0n55
XGXo+yQ8DJ1sA2PuQZ+XunqFGDFsjWXiprf266MpUmffAAx40kvp4O9xHwqKyg861OWXxEuzg1M8
bwI6Jrf4yru47BoXs5q6KPvxOpCWPlVQWXAfs3fwrFYrqDoJstAPbF6Fv8LdwcfDrNuv6md+kH6S
lapfYaLaN1Ytr8GkYkhSDUiMLMTsbE2w94ugV28NftpT70qxBWSE9wjQSHJgBDw+TZABHspkbB/z
0naucHKY28lwcKVByo0Wo0Bl76qmovsghErf+/mwaddkhfONhSjG+8L+a2AwlDRayjEGjmVQYHY2
FjsZJikM6cmuhUQCEKI9F8iWbAaRD+IAVkfbVTsjmZoPkPrCPX8mAHlZf64HGZCLhPMoo4TL5H7g
rQ4u2b+zcpcLfZ+4HatXeU/UT+7DMZtjF/0yaiC7X03ucOuklrtByRljQBVehJnsGsHdh8s8xd2Y
sPAyR9gZkCZIsJFch2G+afAUxqAd4tAAkGHMJb7HMWzLKzctcKi03bPf5kW2IXpgcEFovA8ItuIA
fEHEAKv67UTGjVlZP5CYMxOef1nsZUYZ+Nw2/FZ99jrh044ERpmtYZXmHunje+3oPFfzuEb1Oj0P
S3ZoMcTtUWot2P+JedsJuE52GGBAGoySKiXfOaheEeTKyvZkB/m919MySIznlADAMMDrkoKjn0Bu
UXWGK78rxOcM0SvZyEJKALvnSTv8WbJaidn0F46vh73vuwYsR20G314xAhlfRPOC/NHcqaDr79Mp
6F+DEGI+7zz3YqS7nTVq/4az3BR7LZ1GsK7/YHD99Nk5q7Ba8427pmsSmWGVfKLBcsJHL28ulJ32
QFxZ88wIfw68gqFUBqUJaYutqaTdldiaY1rz1rSSFS/rNDN2lK5i/t/ZTfjEXjoQtoE/C5+beA0i
Lk6V9diHS0MmR5qMVANsSGvty6veLYun0huTLanu9rJLvWmTmOeJS5Ib7wuZvbnK6XvNoL53w9Td
u1Pj7CXWohtkEZ//dEdCNKUCIHZ9f0ZE5ywbxu0MuxOKHMt0hoWTSc8cK602bgPtOakq0PawEOGL
nM14Sdzo5ndY9ZPq5/BJzdOZAZ4uBXFC1UFttNZXqeaXtcvJk/al2GVjvjG6Et5y01NdseT5Ka3R
hBjoYKrNjWcoRvkmzNEukd3LOM/W/NTgrpAyc3Z9za2rTd3igBeZy+zo4FbraLY5coIdFTRX6a07
kx6YLMJFidHFrSfIyDqA0O5005BiKs6GNWKqYlzXnb3UIB8kOg6KRvZAoMbFpTbQi1F49bbPs+aB
1DYhIL/3oOM0smNKjeDhJdE6iP4W0o8DkZsA8qOZNu1BlymXSM1tpd6AJ9EnwxYkkRZzmXdlgFmr
TZE1zcn3Xnld664ncXMeVLj1s72OvX2+sVQkHFIYetba2t+LgBISAxuhRSGEKBOjLDZPwXJeLEsM
nwWunsT+dbyzk2cKAmMPrrhie0MveXHn0n/tl8y/ZCJVX1VYBO4ZfPpHT9j2k+mmabPxXPh8nKod
gMZ91YVv4xLUHGRwch9NdjiT77aJQ3j1EO0GV/JsFWNNVxNZFevHgcb7RJTRfE7MovktfUVetA87
eaMwLTJigFy2kpFySmxgrnlMZqDYJpORh1zSq7gpM6Nj36m99wWbzY3bFNVn5a8JiikosQHw3it8
/JHbMbmqj8IN11MjHf5ZTTjqosrgwoQJWtNR0tTuQ1hjgo9Jr1ofXZOKw6T7UeKSyrzb0oT/Hwdt
l95C00LbzYzdmQD9bHZh/1srUT8zREpeZCrJpvHsb42Od57kiyqPHifJw6Ly9SVZgMjj5eTRXPKk
fxOYDD9QgZ33CqhGPDYrFgI7h3jXcYRf7dGnUdOxTo3hOGwpdbGV/jL/CkhPsYFuA9TGIc7YBQ6e
0VbZzwbm86M9m8uVnqbwrbCgE5l+V0fmEuQnD5nZY47RN7um1snHisjCA1BX7VuAA+60ctbmUL1W
el9yACQQKLtsl47uI5uX+hkBIJIC1OaeYYMBscnV6ZZjXkGpmvGeI/fUcKRYkPk7/K1WSgw7LYtr
fBw9DRJMJbZ23QC99wNgd3OK3uXmlCLhIJXNw9JRlxCVC6QnrlSIkI7oiivRT9XRmZbgOCdZf8qd
uvkGlM9gsLZ6rF2F5VdrBD+vegSaaJqbvpT1FQtGQEIVCMothSe63nNNnkU8ipZbdE3NsdyqvCo5
ZxOG/7IKPd0hWE+3YH7aB9D49Y/bDtUVZrvytA6J9xs6bnCV9E1zibmTBLKwRvvXHfr6pxTl5ETG
WA9vCuvJa6E11sXK9rW3CfKWnBhoTyeJADR5cEi9cJMxIH3s3Bb7aQDuGZNd0pn3hu6d59SX8lul
+tkKUUVVx4kEQhYhLr8CMI7i3pa3hFWXD9mFdAhqtNOB8xSMfx/pfT10PbKeG46dpBJo5k0empED
huE1q3kqstaR2BgtvKF6TvJrwDAugU+mrqwRdPHsbIAPFyDztL8p0St2E6hL7tZqBMkqMOXuRVcy
iG4Cw7waW4daEL4S4tocfAQ7v++X2KWd/WPQTVJuiGC/OlDGi4302+w4Sl3fZ3xQVG4AyX0CXY0r
kLYA/5ujkYOJMpfLV5ECXoyrqvGLwxnLzkEKOhgNPdNUdFhP2TOjHqK9F/uh8t4H4opZ1HDkv0gT
e3oC18TOFnrTPl0NVHtDWSGxieVTa4LVTI6nOeJqzXPCGYlXwDDBgmdet2y56Ngzcxz/LaXp6BtI
dYJk2btx5i1YRSzrEpws+BMdONrb24SA8PahYAtARZqBh80fPFok04eoWcBwbKHjSSYdmAj7rZPl
SGedVXwlxOSPvpO7Iq7S3rQ2hIryrayS9ksvPrbY2bHY/hndLBe0FVSxOfXe69oydWCIweVN6kSW
B12V9ndR9ebFoh3FBXddrP0ySrW3y9GLoTcuO69iCMRXUh2ndGBQ5jNMu/VoQyCo6wzsJl3Sfa2w
dTjiCUO/FH4mSQhzmqCw+tcerfDCNZzwVOC2up1Wm/4GXnZ3WnSnr5aFJhZmtdzxF3iKHnl3g2nf
nrtNnW24NTe/4MIJ6oVVkd9mgXtTMffdi7SlFEeSLYDwYMyHQpLopkoc7KXqnA+XiOe94RXOl4GL
P4LSfrkIq/4eXLs4R3wr87BOdYj467SvIbv5pZHW1nXV1AYJA/FPRoyz/eE/LS+h6eCCYuPG3e04
Z/vEnxwLYM39hi6L4HynZ3jKjRnub53dVPTJs29zVL0ZLaN4MkdCjv92Vf4HS+XPUI4/OpP/9sMB
fJg4/ATGm7/4e1ZhQIrF8rlfMM7ehF6jD6PumCJgft3b02zGCXeyc29CMX5PK1uKHgZq48bSghHY
fZUNRR1BIBE7G5POFMWACUykvZs4xjNvFtatolAKWUZ6kOLZUdeD9pz6NDnFetV3+XUnRkYVLtqg
jVOrimkDpzli4gTMXl8ZCNul2NMkDTcSdxCQMdayQZOvh3T7OA9cDly65G/b3PsqFIUyhj/2h9Zg
wS9q5dcwXs9WqTmw/+GtE2e+z1/euhDNFggVaBWGwWcnyp8+N8lXibfP4bSOh5J7g3nrOPNSx0Ox
wDfAsjQteDPskLm7RZb3Iu+GZRdWW04BZ4/BJDZJnoZ0tGYjDWWD9La0q4xHs4aFScLhYjYH7rtV
yQHYLooDpUL/1OH4F9DP2e0Xhi4DLSfgf/HnnJ1zf3oJOXtJM4YQV03dFFxxwnGlcnWds4vV6O+t
efQ2I5tzvCxddsLuP/ww8RqO2jy79RDcXEuVPGITMTiFb+O/m3n+btvjl3O84AyeoWct/Mv7m6Lh
eZYnw31JUIydHFDEpZko/Q8/5o9ayb9+jqGD45FHgKXd+svPaRgY00RPlorx50I8XFB5MU162Mxz
5X0KLvCskSVoPytRG4oSvPucQyhowaklvtCL8KZaghLbDA9L4yp5Q2rLXKIyWY2tk5uPTV92z//9
rfkDU/fn35n12rRcl1ZFbL1/j1pSxrMiSPDdGzvBorAK5ca+iThYJCUpQ64hz2F5A7e4foP1b1HO
Jcw4I+NwWpzF22BmWL7dIpz/3Wj8/5O9/0RwCvma/ukjPDOi/gPfdPXxnS0f/+tWf3z/dNmffdrW
v/+v//ZpB+JfmGIdj+8h5gm81ViEsV/AdvKdf+Fg5VMHoisCS7BJ/F+AEzAloCmhw2pk+SG/SPd/
AE7Wv0wfn2FICoocMTLF/4tN24IA8Nclz8LaanlIpmfIlP1HCemf1wuLoQAnwG43V0PGPA3c1554
T3ZjGIX5nLm99RKgRlSxJhJ6CeVpsk6BavpjMOXFg3JEfqOhabRROy3ON/7u8HFVfdjsqUQV3mWi
hiF7xqyQLLh7avrCkkJEohHQ+A3bjDqTqTxhmScfvSnus2G8aRR1MYWejahR02PuNvIxXZViL/ft
G41Z7iCcJjh565oddSqHW4m3AC+Z7841ylovm7jNjBUswMIUxV06M0beWS8C05rgGQzBchcOybiQ
kfGq+iR0e8/2Jtf7Mexq++hlq3xoTGjTG+Tv8QEnHWGs1Zmshet75TB5dSDRH0VajW1ks9x+MzUf
kPYY/XLSQS3pL4eZUrsTIFefnqsJB8cd61DzjRmBs0yKyjtykkzD75qqsc/VwvlxEIzH5bb37TJO
i8mAcRGGutoYXLHlDbZrNZ1Wwx1/exKO9fWcyfad6J71WHvifIhMgjs8Ki5T9AJJnCkGd7+sMXGX
B94nSDZnPNoeV5qohWMKsSrzuCFnc0NPwqjx3Bapk8eJRVCbblbzESR4/kYmLP0eWkNzWOv8a+nn
i084tu23SYZ9NWZKPl34luj3Kk0AXp9TinveFceKexfpHkYr/iuAi+vBHcvpDBdPL+3KkOX7ypfj
nsS1gQJqKvNk6KBkcg39ul9TzuoNFZgYV+00j5uB+FCVeqQpbUZFrlPii8DX4J8MTraUFZdfg+Tb
MquWkimAWQSK8rR4QGZLI0DLJexiXvcARz4ujJWCgNSZ6w+zntGE88H+TSsZvDha8iW3zK6037PG
p6GnqcbYH+ZP26rNiO4e41DMVE4ih+RwkNc+2/QgQC68Xt43dpFTIauzS9dd3Du0v/BN6yq/SrFR
MLJZ1myPjzP40vjckORMo3od9TwMDFvdmZrAPJ3TGGcvwZ3BVBmqZFHN4D4y6FSnTjGT8oO1JSFZ
pd0lid2cyZC6PxezbPPactq9U+BjauzwsXKc8Q3nEZgRZsBmHFJFA8Bk7MpgF9RJYFOVKNcPrvtD
9jKYlMniCcl87tKZx3lhtgxsK6bPBAxb14qiX0OmVkeu56gLEFCzVwavc0u8L+1rTFT+OF+2ULq4
npZns7UZCDvbOaWH8TUzJuumg23kR42nvTd79TXCWZBCPNwncnBeziEN45rCtUxTpJtnw45hHUqz
c94E49KbbHc3LfNibiDJo/ExV3RLnnUaYOdrBxV8uIKbPCEkoPiQtg/5t+4p3S7PuK3Eml5ol+Ek
ZvpVOdOvibslzqfMZOdfQiSjhkvBgUhb/2gWlXvkxJK2DyBjqDuhNi4sfiZu0ZcjjhAebLeBUres
VvWs+UUFWJmi/KmmPtRbO0k0cMiyNbAFuT7BRMtcFW5jmnAJCA9WgnlurX41mHfq0uyJ/uiiKbsj
30xMNE0ufIqRtXOnx1xdK+W6354xK3FwyFrkp8Fx9SenTrjNDA/bcxhuJl/PH7FIzOJJeY71xB0d
4phZIsNXpYPT0mzaNM4CGtN8Nye0D30KSnFCH8kYlRnh94gF0u843A5tHfMS5cbK4dvwhyT2omou
FUWQSk9vI6fZq7F01UvNzRX+Hsfz62ESJQM4GhEj3TTzlnUohWOGmIJnoJ+uUPrD2wR3NhizIgt3
heHNdzSgMYzKlLiXo8pIWtK2RbpbpfUxaTE/Rk0103zZLvlF39MK6Rq6fbSUsF9k7007SxNCW1Xo
HfH4pMiNbJFyC7nd/JxTHC+2wSx+m9JzujKQWIe9uQzhZVP3Rqwo0MNtVNOhkzmquTH6evgw7Xl+
zyeLaXFmobcNY0FJ4Jjcs1vmAS0OfvdYW8X82fa580057fQ4aTnRaaYeQpalOZoQcLttNtYPMMXn
AjtN1pxwLrLyBhZJRku29kZ2I7MYpYo8dp0eCDfntDzbBdXZHdxV3lvqKz7WoVPdBa0zwW+IKhSp
nKuPmYTYRftevvu+hEVQu6aYDqYYcHuPFeR5UdUHxjL1VlNueO0Cu8AXWPdWsVssXjCVH9ZPA1bj
EnuZfSbypxbIcqrGmg0dhfVTW01M9JJZsnepsXGODWFjTseM6ZiDBkzPFlBM7y79OHfjsNhXRVuG
N0ojX52NcV9szfqSpugO+iKD4miaZywzc5leSOvcCNQuLFSuPet7mQv+ucfkfsPv0r9jZDafS+aU
UzTQt30vzmpP7i4NaU8P0cMvfvBdVU8ewdztlMi8v+bTU2/maq6bmYqMfQGggim2Q6IRdW/0SYPg
TQ+uObkQCAqVfF0sOvXa0MizIxfJLGJUpmEu1SPPmz/bG8vMvTuT2QRWnyFc7iywcs0DkGrjJJxa
vwtL8QVLnYEbalK3oP4nXY/QsLyu//Ta0XlH7R/v/jd759UcN5Jm0T+0UMAmEo9b3lG0Iim+IChS
gvdIJIBfvwfs7pmWxvTO+zxNTDPIUpGFzM/ce+6YB8I5Ej2SPVc6WtIo3J6dv5m65TdU9v0bOWqs
CRDLt8apw3Wd8ltNg3Q3RIMPHWUicszxcv9UE8EUYzglpWsFhZvtPT+Nw8w0fH9AvpWUCDUavpiB
oL11Uxvhhu44mfnjWo9LsG+/7QnHBauHH39TU5g1qxrkwh5YVv8DeWXF5m3g/5tOrH4QjjEcwQnU
Fy1a/+QZSX2bVYTjrTqfbHQErkP6JSeybR83RXdOYkKHyUoWp4AoimZltQmOaitHFRAIWsY1E1N4
lD4WjRikPl9k1IIuu02LLt3VZA2/NkGZuttmdKbXBIzvW9+NPuv7bigjnlh3YRIirM5uLAPtN3/4
Jl3ZfDvblwIG1arwu/Ia8Pt8R2Eab0ihs3HHJ5KNAg6BmQ+rEUZ7O0irlwBzAM8b0nEkDzNjlzCD
2dl7Tf21rHpBCNLUlq8ZIpyzy0r01VGqAxHXAmOX0NHPUdVYpA9bXnbE3BZvI85McifBaj71Mmre
ZhOQ4wrZm/c5iT1SkYhaEfA8pvHSIv99qALFv61tK4htS/jHWtcJHqAGBf7WdqPqhlOfvJLWx+5B
scPmhSFy9AWT+nLuoL53OxsODd0y2rwWtRWRCFVaFmtnnJoXmaRcNZBq5mvWPp4LAW5Ur31feVs/
ToGeFU2WXTusdt2VrwsrW8eTay7DSn+86ltLuetOmvOXaO6Dh6CpM7mmE5g/J1NsIooYy2FDpLv7
DHt2iO8zeDI3aLqcfMsBI997akuUl4zwwl3HzcxAaPJOMSgrMJNFL1EDOgaKfT9m5R3xOzsQXTns
PRLrWI1ZrX/L8N9AwVBq+15w62xqEanHeO6Te4e4jBs9RdRtsdd0t7nde8PODGavoyQxWA6B8STJ
AxuJuB9EkJB/y5YIW3c2QQ9tUAZEo3PX1BzUByReEd5wNGhbb/CMd068dMf9LHbY99Pv7ETqDaWQ
9yUgRtradaYh7kx24y/VnIKdDWLmjaKxWdTpqQ9OgCj9r5k/zDfkMhrfSOlI780pbhFJdH1xxkvj
/2ArldSXOeoqlnWdV7yDjuwfZz1OB+bDw9mvvSzZuIQkADwBMlMCTWwnYjYZMLGrbgpxwAxkfCEc
NB+2eVd3e7NHA1jELUPtKTGRQXu1s2UA1bLHsfP8hMVCx6QjDdPTLNmbV3EK09RHMuZv8DKxA7Sq
+tJXZIZscGe0W11GyRlAgXm0CvU8mvBtw6hKgBBMin+IjTaciHqaKVGfxtiRx6StOXlIv7lNtN9v
PTLBo1UyafZDHF7wDeNHppxyRY4uaqa+Ao3RBT8qNuudcNrjiLR627BC3rlwffawBCusjlP4HZpe
d+3aFeffFBA7QcqrvTJ6d0/gWLzXlAjuxmZm9ZkQj+pmJNfl2KQ1UqCJgCQCf7IzueTqTWMXuvWN
CT07NBvyvUa/enC5+3ZC6u6Aiit6oZzpEC3Hd0nJ0dyBpqWYg6LByIc1yVCFJOoMyR5kKBr5CJWn
siNuagMFqU70G91DfyT3O2Nh4RdEkWNJec+a0tTbVOdAJNJYvqSNzVAcN2N/0nxA1oYxoRpvbPLA
K7TeJMoPr7Ns3ufaoLYiUG+5TunG6hgZnpja9jShMt3TAkW7IY7papPJMa+QaZSwjAlnbEBZrMiC
tndQAsUt+zK4uQ1B6mfRZP0FjlV9nIy6QUDpEb/lwRRZE+chANOFD3zsbwUsnmFUrH21e0MaO6Er
4APYwzFj6ixyw/hzstXMIhzbzZzGV2RRMhBMJ5U/Vs4YP5mRAMqHp0JxwTZfhNmPr0mNtkuQaAJc
AfTOFSHA/kGwnTxW5Ec4e3PsXI63dJy/Mra+ZsDcXhOFzoyg6w/KcgicLlUJiTB3FNKwFm9a5nnP
3VQN3+q5uyIbsDl3eYpO2CKHhiOGmBaiGcxvhOuS0czCdsc4VkLLMuYzBlMY6vmg7ouY13bQtGK8
stWuyclm5iNqeEewzvbnSvj6ofepzacO+xwIFKP/2oRgdXpEr9uyQADcT073TZYJmnVg1GcvCPV9
GJEwgeLB3Gkmecy+hbtzDEs8ISgDvVHWUTRshnaYzS3VyA0RiH6zLSADM3NXVoGsq4Edg+ai7NcM
StFBaAuUrqBroxs2nPqlR1bCxo3FyA8/D3v/wY/wOK8tuyzpTHo7hkldJ++tbWhnnUEjOYBtL1/G
CFrjSjl2HuK5Qb92U6Q1O/JkII3PyOB8p479sgxhr6F0Wu9dalTWisDBJaKQv8NR0d3sBItRE9nN
mDxmzagRBMvaTlBLdmWJNqyRbKhEXzPHbubnIa69o88E6DiqzqZfGJ3yxsoI+8UGBzIq8gwLyfjs
Zyt3GAUGFRdD17ove+Pe6iZWvnpw19wv9X2c+/2rnSccAJ1VHGwveWlJFz07UJ1L5OtRtjE1cxb6
OmIABcz8h8af+kNXzo59FY3Qg9YOqcftlmChGUWOWaArcojJQ8Kni1I+pk1im3u2kIHDDitfSsbo
onVNbFCb8ovoAyQa7FRJVUGyY/6ozVF9lrMbPplj4fvYJp0QMT6hSs9JmbQnJjhltcNECFnbrkeC
Bv3UQZdN5Mt92VuDuKAh7btzFY/ZuJkxlG4Tbej1xFRi3zv+16BokKM1tG8sBk00adOcmHqNmx/0
OBEgL0HJjYVbB+QYcUAaa4ljPNQylBdDzB3k85QQPFUNLzxySfuZI1/g9lJFem2FjvuWp0o+MZkx
Vwb3EZV0jaoXMdxnL6ibN5coSB6mIHIuI+7WnRXE+XuK6CM8NHgzAsYPbdYiCHFGZjtB0RKnAws5
WTmYEsAC1XoJp0lqfQXFpVvaQhUxj8ibjpzoEVU6RLESj1pdRwuwp6t885zHiDlWCStgyuEUvi+S
qaIn5YdOLN0hUpDs/v3B3LSZR0S529bq2QmbpVTuKmS3SZfnDxnjQA/Cdq6uS9oX/msB42WNST8S
K+7pTJwar3BfyWUCdAPnaVxnmj2AZXBFgbxGKYe4ejzpoBbfIK/WT6Kw5PMsynJEshUbN5UEd7Lu
XDbO0IC6iaBH9Ec7cPYtmOqBPM65zvJ1OKmO9g7RSbOu075GPkWgw4vbTPW+FEp8zsNSQuopCwxn
va98ABiAtQXzD2ND9HN2Fm6eoR+i5nlOO4PYXkuQ7ZY2wrkhZQ1rVdFXKz7BTn5XGnlz0KHT4AJr
6T3WuG0RZVmtKC8WyUiEPTfkrG8KJ3Pr7VAsAKDQLowBhU4fFvURTG2oYK5a6T4bfBKXwjwcvw6C
Bot3IjvEcr5q10KNAe/aFzOAemL/kOAFEwM0DKnhq8pj60GCuh22bi8FdQIZTWfRDQBVI29IX21I
dcwtktGwdhOeI2MNpLtvT4GvZuhLiqaLj6eQmywaYWKuUNhFz0nSd/uitMWJgYif7EoJTpFpbf5e
NoV9RURFABQ+U45aFR0CiesEufUjKO30qdEmEDNSJQVvc5aVWGcs8Cc+Ygq7E4vH8tRPWBPZ/suG
sN8hCh6KpKWbH22On0lY6bdw0sQVKttu7AvnBHvGyLRqPqCZV1hHOTZtiQAuGBzQVoOayS0e/bfW
U+2XXNgAgDJ2oMUqsxnprZLeh50TC2aP9AKo8DJQYCnB85YTkTyW+OfRbpmVJkEqPxOjjVbM5/zk
wE5BphB0ZRC4m5WkH2+8sp8RyaJVH1YiVo25GZKh/pwW+YjNd8rGrwKH52b2G/WVJ6m1Ly37vH1U
I4K/1PhAvMX94AQbw+midyyVabzDIpEuEtDSaNZcS5wrIyGkxZfUGdzTHFSYFU2FDRsxvoFHzBAw
r1B51eAjO3I7h9qcLlNp4IylizQidHgLMBjPXZ5ubWyItzZmwXovqYxaWiaiKxuTZ36L1Sa80iPa
1HVL7t8WJAxqEp2RtoWpdmGTcao6OKCLcWcQ7qouk/bKZm0se7E1SbfM0fANMEzqfME5MMeBJJi8
p7rPudlowRZMXpgubheJkBE3KIm2lKc6Ylg0VfyDI+Low6tOgUjY5YX1Y8gMeddKIMYJbAg4hUbV
E4EVp8hfvBiF7srIyRzcdhybmEn6xriNaDXko53M0zYSQ0IDk0IbBMo/IGDtIFj+wHwyveQUZB7i
eTu5Y4pLLh6Fa4N630/uslxOB1+yQNjF2eg/1omqz/BoosclxqBbIcRLAe3nz+ikwm2V+H52TLlE
tiG6PyBahFls1IgblIWO8V4l9fSQ5gGSCqiIQAHgW/fTOecqxLWPh51VPEoANtnLLBsz9BvFXPvN
TGXxZTZHEgYgH3dbmrX4ZFgsm9Z9tbwj4O3OyhELACzO3e+W0Wi81hOZswwUzox0yOt0UAV35CWq
jVFUjrWafT0f0CVGd32j67twRi4Sp+DP0S1F9j3pT5zZKGH6Byiq1niOG1XvILDLaAe3fIjXhdEx
ibJw48+7EIl5cpB8fFMeo8FZFuuxxlxt5dm0m2drmC+1QwDKgRhIh/VM3Eu8XJltHREe3iNYQssy
WtMr8rutY7jVpjZT4hcasnHfWMigAgsa+5mabPS429JY3Ge0JljjMomDpxXRQ4u04oFaNJrXJpop
Y22yigLKkDXNEyzv6gcCa2pRp2UOsJadWXxHdiaztXTSHK75yLC/UUkDcmt0wJ1y0FNRtqLYfywd
/7uf/av9LMEpyAv+NUTr/L0lXuenvexv3/I38LITgNwNLBB/H9vWP+1lpQRpYoJsQ1HH3vBvi1nL
/uSbzG1Rqy7qkMBDQPL7YlZ+QuljWgt4mc2tD535P1nM4v79ZS/rs+JFwcHS2HRZ14lfdByBSg2d
ZRYYYRp6il3ONeZLnH8x/6BLmTLXDE1ln4UzVwcq3R5TS0tJIougviIVp39ytctYs5Rx+owGiArM
NMvqmIcWx2IgM+njaenLHbe2vCZKUMgjpYBOLq3XVG/u7KlzR/Jce1KmoCrAqKiGXYTkEBP4HIts
2xvB4oAiNGrcpOCrGTXk0XsJ1wLewyCFs+FRaDWSH+AWq2kYx/KsjQy/FGD3bAvgdrxAmA/PgLla
dZKxKZ6aWdtPoW/Lh47l0XU19zUP5dwRqFia0WmwJH0nClN8njJXwcm2MlgCuPhxvRgmxIIBafDA
TjcEWanhGhgnQQTmvVlq5e2yLEjyDf6MBpJDZFFTaDb2Jd6TeAyvY5/SZevFM9JLtLzYzzvOTX0t
BqaOF1z71Ag24uqcmIcMUmecoqZZKR+N/zpJC3RreqwutjKSbmsyXLwQ1GB6hyruQEpCzfCQout0
utezXThMI21WAH0/5v2atIk02OjA4EoUus7eYKjMNPLkcFVLb8oLEGwvn82kS68zYlnpeXz3wZTp
cJjCcPocVlNwg/0f9y91RTsyUDWrL6itufbmtBjDvcAyiZFsxJ3qUqY8mnXm32aNKd5MdFTJVoml
LkfVy69GsjqhmseoslVeZz9xjKknGZHQvdNQQiUoAJi9axTdVKpM5O8pphs4i7JhWlv3bBCPjLxi
+CFM4jax5BU2Xm8OxVYpx7mD5FkdvKhJbrG1Ut0OVireFkYRu+nYxgWKdUUvDXx8pjXJsVBbAsV3
DJIznFEOM+JhWkcI2xwc3cEAftN4ic216OtFGW6Jl8b/qBSFyS5dY6LBwM20wd1pgLYIqhkHI6tV
SWhuFCyGYaMGELhNGcVo5B2Eih16qWyDyKDyCEoFIrky61b9ENY8Mo6aPfwHicmydQ2ZExqCLRu1
Y3UuWR45ZXhbDFx9yIczvcvGZbWAyRX08ERgOFWI3beXJVzmXSUUeUdZkOdYhhSTG5EjbwO168bs
wnmii/sgSOSm85VkRDXkBRAETG5t+ljPwWecyOMWSjrzOKYuQX027Sbg40iiwOTr9GB2ZvpY2trc
U5LMWz9x50sUdMQRQ/vaNaMdNusk076+mgKa1VuG+dVjqx380p2DlWnQah04fZ2eXDTF90uAChqp
adinodXNx6Llk8LozLsylUyYWyAX07yAEyPjI5mo/kZLOF/sAUv4GrwukR4gHLJpoe4A1GkmcpGw
ZE9L/vQAMQl/AghS0vyKFBRIaBDPqlW5tGe6qTdoKlgO6Skv5+uEjo0gFR4ZhXekFuZGk0fBoDkI
ekaVIpjVfO1EapqvDEQsj3h9mT40Tu+pnRrdSRPLGtsKpGc/cczT8MfSWEVETe+kgfu6GrHUdJI4
azPboP5rsFQ7DjowZua+5/FuV//j1YgkVK2aLRVsfYPgsd9bxLLv/nu5/3/i8yDc/lvt1f9CWSj+
fLX/9g2/kzHFoquymbOjKhZ+III/bnYZfEJ5wc8W6Kpc++Mrf0iu/E+kKZAi4wu+GVodksE/JFfu
J3RTHmlJpMF7mCyt/+xm/+lil25gWpaPMph8PnTjwvtFnsveOjPqlvvaZXSyi8Hq39uyEDs3tebV
oLv8VjZOs8sqd/qaTdW4ifrxeTCRVYnuwY2ZaJjMmPNRzK+MGIz9PN4w7a6OwmnYvJo8KfUqnXu/
XhnQF5FftBHKGswt6MDjqoUb9ptC8F8Kjhcx5d+Fi8sbQlVm+vzGTUIwsQ3y9T8pyGbI49gnVX2c
k64DXJwlET6/KkGbosQQyJWIcun8BfHzH1/UMQX5cpakhqPcXr7+pxdtwzByierreNFovqDDxpzY
f0W9dkrYXFIW/q1wvPntvfxZUr3ItX9+h7wYOlLeID8JzOXPL8ahZpf4MfujJtp5S6P9jnZ5V8Dy
/Yt39bM+dvlVUm9SCcBf5TPqeL8UfTaurBpPQUnWa2H3165VhwOONstTf6GQFR/Rwj+/JzPg826R
3Oi7fOJ/kahXsa9NXFDOIYxnakt8jrG1RajipHuzUpRAsprzG5mEMcvdwJHleog4SFdhn5IyHvf+
0K1aqqcW1kJvMbEx2b46haeqw2ioMNmTemQcZNAOW9uy3CVt1NH4Kvzk5Hq5YsSi0FtB9CMcgt1v
6gFpBkRu3wadxbrHngRMMKO8jHaQHLsoHK+U7d5Lt+7WPMfTnqV9u6kqu79KO8QCuHZSqqstsMIT
Xpi1Xyu1mVs9wzZi82734NrmVlY7fyLOzM3UQutDi1I1wRW6IOszkLZoT2ELWiFJzpONtiI1cETM
GLV2lee81/R7kGK7t7LI5D6rSQbpO29e0Y1PxxSNye0cBPqUJWb8HjRMupcu/FRa/as/GvJg+ma7
g1FK1jHCmCuZiO8E01mf+2Z8nxXFqTlOrLJT47PAVlul8zfyA45G5KAyC5/Gxjn3TX5x/XTTT+qE
1WyfEA0Xr/zGeHMrIinJ2XrH/7Lv0CVhn5wOKke5bmvnIQoQc1UJUxc2j5hWI5yZmIiecmRECA79
Z4RflxQA9kr6G93pdp1QB27RQhFWoozhbGnGCXZjnYoCmPuUuPvRgF9BwupN1tbLNGZcCAlRgfWt
dr9NmhRnWl3zdnaEfT2pxbOCc+SFzIZiWlViiN7sEC9jnI78BIW6DWaa+9a2HGe5auR1UUSA2kYx
oZjqqbHdxGlWVTfO56wu9KWNs2sGdExbWo2ZfYlFspaApGKJSsIZ1r/XS46SQaCS1QSnTPVLlBZb
idVstORILFFM2MVusopwJi3mOxlXtxmpTUak/ZsZ+v/RG/LknDSg8JBUhfYNipxmgzjlLfcAQkoj
fykcNVwxjDoa9rIvGbA43fm+Yv/O+g2lv4QZILBGpbXelqMzr2GGTOc+868tw/XueqIyrYvvh2Rc
QXEi76qcDLKvCjcr1K7/CMYych0ZWzxSomEhwZuFaI4yboUJPsAkrJIi37ofgVtZkgreMH4mJlok
bK3YQ3QsoRIHlkAuZpbGamDmtmKlgfeu8yVhXwhowSD4VhX6G0bBWm2j1FoiwowyRs0YsWG/GC77
fHZ0AZFiRAEx5U8zN6mfjCxtk4TnWfaMK0nSYfZkVnJtD7IcPnsM0aaDZNY0nbHp53oHiAMoJhyG
Vt4XduNVx8zLjepHnSVzwOumpGibXZwH68hmX0mIQ1i62FECGW2nIKoA6wyw6faxIyZ7VXmNFtve
NmmhwsKQ3XtlD3Gxrrgshg2BaxWNL+PhFwgC01NJZOAp6NPwpo1aAmUoYAkNEhNJIgc8lGyD7QHf
6VqkI1Nsr8ojb+NnOb8sH4tKO7hbrKbRF6gcPCG95FFI4ONnaDHuuzTqv+tw4Yoxn9Ige9PEym5E
lRbpDqw967qiJ9zvc5yV/PXdqY730TDa/ZZamE7SFHJ2Nsgna5ztKvato2jaPn9rgF4ku8DPsCLb
hYQE6Q4WF36AKIFwn/guKNkukrjAC6oa4qlVsPwv6xg86RQyfVw1pLqQCXYShm2/ZEQ4MEV3+1dN
7reL+ndsrhSB78Tuyjk9Fks1IT1j7X3UFxQaKUvHmMJDlnT3XdlMX6UHNWjO4vzWWSoVlUQkfC/V
C30gGbVDJ79GNsSNldO78wv6x3ctFDEBpiofQ6Pd4CPGgc0oG9tsfyb1YQS0iJHNY/E66qG49KDF
nH1ghPxGh6kt1iIC7bjKKcqvCf6xtkgHANJEuu5tpGlZq7fsQ3N95tR+HIDx+Cgpmv4+LfzcuYMb
OjDn9X25YTMpzp1dkqowtb053nnwx+ZD7jbE2Jpg8O8JsYjfDZEj+NEJ7piNbN3koUW8NLxEDCFa
HK6jPy8ucriVpOqsSHWcDpkev40Qqihx+CwTLrPsxu2onndW2KXrduyGG8yNybVrlNF6YMV1JR11
O2XQeUPktreSXKRdl8/lF2M2/YsR5ONXBpr1bW2QebUagLY8dHM+3ZJpUuQ3AyKIbyX1wwEOoj6G
DCYMVLqyeBVhYt0SAwSMy+6D67Fn3bxCBCi/RbZUIFUySKfgHxKxah0VZksOkfwh87m51JPSP8J4
afeSoPKxwxqNz5Qd6cLadkQcb32cYvkPoJH03qkRm5+zAccMGw3xVGjieRE32f4uwIWSX6wSlbJR
opda2G8PFQiCaN1luvxu+7L6MfiGfgYZouoNcqIAGzjuzpXFyD1ZJePcXBsVEUKkXBnFVZ7V7gMx
JU1BGOUoswMqFhdwbmIM6TYwY/kM1BOBMhEH4z6tw8o+CStz3yujHW5RzcsHsyrzC8OVxDq3yOa/
5K3lvcyKGwQhO4ekX0zRsxgM89Yerahc5VM+XlWTM2ykTR8d6gCZTeRZ55iu/TiAbaYaA0G38ZQ2
Dc6Iqs12skWAtZ6NyWVxHcwd2U2W8RlTE0hJJDaNWurfub0qjARR5xwVpeaUbHIUTCaIAGXOU76N
c6Koun5U4O4cp/Nu23TIn4nF5ENXwegc0A8MobOxw8BHR4Lsdj7KUPXh0UiwYB5Ml6AqPphSlLeD
ZxsooUQY27fIpdiFgYHpB7ggDlLozsEsuiFzmAtAsztl0mBkGhuftDLcr23gRZekxEVJhLAebi3y
DaOTW8+eecFaMBdbk9RMkk676i6gU/aZL5H+fBeySqofoXthi/fKdYpufUVIgbktMx75IAbzpS0x
XGW+BQy/b4IHJKfiNqVyidZoTwNoQE1yMNzZOQSeJIDWTmxCN/A+OHNeHKRPTvjgsmwLpqHCFpF2
84WNC9wJEiyMc8K0gR0sdDWQON2AY0ECUFrRvlM+OObnbiKuJGnDO5MHft0SC7vtBQuTLl9wphY7
VwLJoi9pB+Qn65CZMfJhCQDaNY4AXXE7EC41HucJDsKlrdABsbF30+CAN1byZ6171DkAHN3+xiZu
81p2vnOVG7HzxdU92H0QEzpcV4KtGTs+ISD84H44Ej7nfJmsASZDNU0Q9IJJqfvRSXV9tLCgnWJ7
jt655jgsyY7xRjrE2IkOeWLC36ALfq2tIjgj7ctvZre6aXxr3GNqsFZ5wAKrLWfvQtK43JSKSKoZ
wFRpg0MSMF1XSRkyj/XmVy6M9D7y7fy9VjUEPMKf4MM5Rna0+jbE6uj6zXsUERJUwYQBlwFGCYgZ
F1SNc4Ac3wT1xNZkzLlrHJ/YoMThItjrkbL9yov7YN9V2g4WafB8nbmgiJt+qt7qbnpjqQZatLcS
CCCVaXvNTjl5EG6Ia0n/0hj7D13czx3PLy0j1IPSrFjxHV24BT162649lYijHv59s/iPPZxJ6MPi
4rOF79u/9vfDXJRVGDIDJUNMl6TDRSnTroaB8b9/naWt/rmBW/6+Fv2iyVyC1vHnptQKDLuHS65I
YCvVa7rc8KKf6QgiNBTxejSy5DsCcyByLrxQ+Revbv2TBhyTKfX74jI1Pf+Xrj/KCLZAXpYfSYMi
oVtxmIdqjCMibgIHELbt2N0+mDEpcNjo7joDweveSMtDFcply8SPe7e2wAT1rQrnw/hxM7cft/S/
/0X9wx+EYBBmE2Q4WPTV3hKU8udRAYyRqG+R4B6zODb9Yy1VfzMuCte/yFX4J6/DxtHzPDY3vMyy
nfrz64gm7pooUijNQ8qwTevDxt1EoGtOH+/nvxu/v9r4mfwdfZfP+d9mN/9gytx8z+Pkz4NB62/f
9Pe1nxOwWCP6HLcj//vHcNAXn0BUOQF56IEN1XQxav4xHJSfJLkm+JWtjyDWxar5x3BQfnIZ/zIa
Eo6FH410lf8gcDX4edLEm6OwsHF9WsKBG8AI8+fPUFLiduSf1+wJGJwnPJVN/4BkRT/HQz9cO6N+
UEZr3JUO7GDA5nHN0R8QTFpbCH88neZfCyB5r21TJccwC9S2zImzg+8LqdftewRMiXc7CmpgfnyM
AkvXNxFt5HcEEN80dfKGfYmxbSjINqLiQiHbPnwAQ15RXVjdk1O5xWslub4MewKPE2bZzVR5d1mF
sjm3HFKjHaEfnVSYWzxyIQTnQC3hBNV9VQXPaPGgMWtYffhdxq0wDL03S+62Ee3oputqms+puWed
GW/jJVrAqfvgruYs2yhUKffuEufZRVBYIk3+o2x775CEWYPWL9BP9kQCaGeH+Y8grMvLAJXkmxQF
Ao2p678puFsPqbILFhihGFZsXYONOzg+Xjrsgxbdemi9IAWY1sIFQ2c2kqAS8riAf8+KBpTSYHxx
PnJLc1zuCfjtwfxasS1m4VGzVZAR8jj6Re/K64cULwLy2kdGBR1ahyUK1ZFzPQB1q9DE/fdI+P/s
CX57uh0G/P/6SLj6HsUIAaafpQAfx8Lyjb/vDFjss2t3WLlbtsPGna/85tJmZ8ClJPBIM6///St/
HAssGnBhA1zw2WYvcoC/HwveJzb3rBMwirFxWBzc/8GxYDu/uLTRIuASdzwuMWKTGNj+cocpEEbS
Izx8QR/i7bObTIzonGYeHQsrGfNorhnixMf66DlC3cPPYXAiNAF9uyigxmyWarP8rfD8rQj9KEi9
j+K0WOrUYKlYQ63N68IwvP7G8QDkrv2P8tb9KHW7j7IXxTklsLlUw9NSF3sfJTK2gwg2EchfMFGs
tJWyjIdgqaul8tVz7WLIKlMZbBFwZ8jY5Z05t8lmoDSflho9ABpYrrKlckfxtRTxHwU9b5aKgg4P
vByJgmAYuzrfsCHl7FK5ZGBLb4Bosbhuln4hXDqHyKOHmJKJIA63CTD+TXhri3wSt5TOwYOsAjoQ
mp2rWtJ24GccVoRJmsD9inqFqKBc2+Tl2LR79eNAf0Jz89HogDS6o+qi+UF7jZS3sqHZXuyPBkkv
vVIz5LRNEUaz6NKw0td7EsXgA48fbRZqeXjgnRViOYmMpRXDzkNbFllLi5YPgWHdzoA9puv2o40j
EZyWbjbxax+yFFDmMa6lNR+V2Yv0FA40p5uKUdbAVl14884ZYkzFObO1W1m0vb2zZoQvjHpslxmS
sgHZOzM6zV2IWnPv94ypzaqOgJXUADnKVlmPHh1vu4lM3AcEB/4IgvGsDN3c2KW0aSMIHV45pnEw
Rjk8o8IjNtgMb/TIzlo0GsFjPxbBlcOYspjY7jMiMXf0WAURLCEci8YzNdPpsnt3isE/VLYRgwse
sGZt8soEuC9q+eD5KQ7Uya/EtMHxJ+9zy5hwPCfz2iV4eZN0fX7fZxNuSQyxK/xl8R4FanVCx1Ew
X4IZbibypNop2OLVnR/CMrF2Q1N5JyEWsXRq7BenzXVETgUowu5+crFlxpboro3ICnc601GxgvcB
bjMHO0rPE/vFqin478SD6vziIU/Z8LPazVTkxaXF7o4VMl0GRm6kzpXpWDh77Ara9hQk6XGKMo3y
P1SbAiXDKq8jIgwGnV1Doxy+9vxtuSYrluqMPscJhhl9EjE3+LBxh8Xlqij8xzFJittmIiyOO37b
BOb8iI03eafV11s0jPV9oaJu78cq5feeTnuBmvSrj67ymBuzukIV+J2tTg1wdrKLrRzD/kBkT7rD
9mdkiA21uNfVhE3MijP/pZ56CxELorUjykFjN44jviAb1xHjRIWVCsGD2aAvnqHaM+fCD1HgNt3l
Y4pUpY3yQx4YJ4TdAm9DMV6xBVXPodkxZ+ii/IaFWnPq6rQ8NVMcXEdOE766egj731Kq/lsp/0Wl
zN57uSH+9Z34pe9f23+GLvn9O3+7FKX7CSYGAjQS6cAK2Qtm53d0if+JLo7WD8jOR6nMRvT3S9Ex
P7ncl4CHYCjZSx/090vR+QR8fen/gsDl+BL/Ua38y5XoLncrkwfoJSY1M63wz6UyDpIALKE37BHe
B/eaJ/66rFJBHEeQtN+YxEHyMXE2/kXymUWxx0/+e+fNtpQCnQhPmkmoLcRs/vLKVMlMcTxyZIQL
ijdpHa9+LWyNmjwZLBdoe21lMWplrZ7zOq1JbAE+iDCUsbRag8U2xd7Ma6CaXevkX8MmRLc2wUxe
cWtH/Vq24AnNDhz8OivCTh00LmRmJtyokM10j9mkruT0zdENs3ZMrHvkKf7Xwi3G16myg0fC6Yt4
i/57uP0/9s5kN3Kk7c5XxA9kcN7mPCo1D7UhpFIpSAbn4Hz1fij/BmwDBuy9e1HoQreqpMxkxDuc
8xyuFr/aKBKWMO9mDFmJrYIJ21uiey8IaNzRITHtzPOzQ+LEfpC7aZi9tZ6LrxSVDtHFpEeUVrnR
JGnAR7YuuhlS+CnKfwtnr97bkZFeuDjR2seQn0p4gF70QvRyAj1aGuVxCgQg12j655eu2lPZ76I+
FccWoz7zx/g+iDt/R8L8vILsxQrLKl4564jdqpbaBntoHxhghkPxOOU11UaaFesMxse4Cm3nRsTb
JgDXyaTaJGxj6PjCpnZ3RQVl2YD9QBJCs0ziGZQZULtk6JxNV2/YNLGBtps9yJbd0FCW1wuErLbD
vec1es1iN+N/gq8tIj3cQEeR3dtBvZkjhEpRplnRlV2+KVlrwp4wmeNKiKqkDvtbRRTiRnPC7luX
o17Aat+xwHSPDmQfgI+i3lpN1504DxceWyzWM864defCe1BRygVdyfwU58rbh27GBmWekv2MHn/b
40kHaQIfkwwHw/lexieHjjph4xuecTenPaAO9AOPpPVqtSmczNlI3SW0JgsEc5Wmpp2uXQj+cuME
KFQ2KvBwcgy2oz+xDqlyXc027zv0W3CGnRNcMZxaX0Uv8m98Dam/DlTFwkbEVEVQgy/IBhjGDo2Z
3KWCAMZ2qs/SdIwTqPHqBEmnfMsJz+K1ThvE0ybUlHnbuKRbrgFRGt6KWALPW7NLKu9zgAa4DyKy
wVfYJYuNyEmid7SaYa1adnbJdG7tR6vK8r0yYvaICx0C9bljbmqvmMUWr1nLzel7wdVs7Jgg5Xrq
HwQ6r50j40meIM9C/cCt43/oNuByjwT60dq3y5hsISN6nPBKHeEdjGwDa5lfZh6oI/i+qKLWCeTB
CTPnuWzYJoAACAi4J+4KP4U9OVxtxD9lNzsv+1dW56g9oXwNTxTqwj4zhGJdxQpN1ifMJta/sgaS
7dm59apQx3b7NrecH7KXonDn2AK3jY3R2hRE1brGY+C1w84La9bf6NKgoLiigdlbE2+1sjGePnci
gTaS1Ma5qUxrV/EP1lWZ+I8dasWB7y/Xu2w2bpEzfXtSfek8vlh9uq9Mw9mBprZXeS+yQx+H9s2j
IGI7012SllCbYPLUJWwTtZotEliEWZErB0rukFb1XYEJ7R7yynesqGyakqVd1GbyYKZ+dS3wLuwI
VQrRXOTVToIPuo8jo0U8oINzN49iC+Kj/Jq9pt9NueHdIQyWCcVjNFwircafPEfls0oGkZxDUnJi
PsCBQMdRsAJYNZNrffnpkJzwdmbn0Pdvo09SzcrVSE02lkUAwr+amiZLVhDanXVQEDSjR+O9zeW2
aLVeFyjAX1Q8oR8p+u4htC2zXsVJFGxaN+lP6Aj/VXbN+aFLx9nF0Ek3oZj8a4+gFwzRbK9CPDDb
IZfJsWzj/N4wLVSVrt3Za7McokeyopT93BODh0ZzUu1Rybr/2xp5d6eZtqgtoQLlakza6RYQrbie
2hL4e2qPeIhcxMucFvIrINBvYxQurvpgQVa4PqmtUGzwWgrxQlhTfHZ5H0npwQROMhZA60Hd9ZGD
iUtGyEBIpQFde2qz2L9W5Oyd6Bd+uJ2IBy0BdWVNLdOVxydFH1NbjesqAqS0beYZ5F2ipcXedqqb
74R4KYjmqJEvvldo+I9R2sI+aQyK+8Dt5XWM+8eEcvetTRq1zXw7+GfGVodixB5rEBFBsnfrPugP
VQWqc9v3fQA1UeWvhICxbxqtBllGBOmr95x7PdbR15SRWviEr41jdhluwyRpbROXVUOw3KaiOsAd
Z0mYHlVDElwy2+u0M7+q2C13bq6JIBIWlnuy4MemeDewmaJdGrUYNwrQE2qXnrHePsk7sqHR+wYW
MhdoQIMSwEIiivo7X/vDuJ28RtCj0QtNQfEQ2fjJ4i5pNrrKjfusdaK7kUaJPxRlcOCgZKC3tQqH
TKNa4hWSx5xomO0AAhZvHzeT29B0IpTjR4ivYW9+1/74d+J8Pw7ap1QwxXREGBGvjbFmDWZE8Kgk
nkF2Sxfa1nE7d427D3pZrCOo0HhLJW9yPDrn1JWv0qYNqtuBD0A0cDxLgieG1sHYnRtz/IhiddqS
77FjJbVNiIvfISkSl3hMig0WaGuhjSTfIztPSKF9e800pM3EsNBdjKPCvVqLldRRs6+WVSLv0LCl
FrTXGuzqph/nlyjreSHzstrmxL+sMsBo1zLo8fzr6mVwYyYDJdDHlu3FUmr4CFqadl96gbXnBArO
0iVIK1CEneBwYK5ZON6Bhouc4jS818bE45sL54bdeWsOmcZF3fQjsUDIHLaYquQemBjdrt3YPPCJ
454pF/RHEixvaswEf9cRD3LvJRVREFarg21ZRMMHIsfs0SeY7QwsWP2wh0fbw5VzRME8vKVVBmRR
jCUieNck1cdhn7SRvhn9mFgGDp6LE58wWYEQLTWjvdEHLiz5xIrvgWNxcyoELCdPOuOexDL7M7Sa
+tKbYrzlYatQxlVFCICtwwMpwxypQt+n+UmKLnmSoeWe0RNZz4Ahon8ZyvceNl6Q74NGJoqDyYqO
aWu6J/zthbmexxRJjW0kJx4VjSefDEh6VwAZ+yVc4tXGtb5i/NwDUJpG8pcEvg0iAwg7zbzQL3kT
ivxeQXV/Zg2eHpJYEyI4pvO+MKf+3XFBXXSYwIzVTPlwB+BH74RmcHJqSVwMsVDY87NKp+kf1PCc
xzRQ6hHOSf8YgjlBI5PAcqO07dYI8v0dfEv9GkyleRehhj3FwJr307Ih5/LzB7IIcGO9J07twOI3
s7M7GuNzP+TOoS+S/gEvd0s16UX3GIyDa4Zg9NwWgf+OeIpBk6zLd9uJjrpE24Ep864JoCGIQBp4
EMHpeXzOnJzKPTY1c3LTWnliTgj2stne+01Dyy8oeBhAjGu/prNYdXox2mX0DWiA3Ci/YyUf70HC
1siIlt1+PrWPHiCCo1/xHRRBYb3YXo9JtWxa+zmKBg/DJCmX1j1XBPdbJ/1+4gCzPEBRAcDdTOtN
COVq59kF3FzPqe865aRrPws/06RCCIPthXOG7GHRp96uritmOW2SbeF1t8lazhlU/m6cCkIehuZY
1b3+4KGdH41QU226Y7FXDX8JOG6xhKGorZuXEpOELe+JahF3gzb78bO0xVg/TGNSZ0+GN0h/04IU
JyWL0UsIKxBM4ZIaOkYQ13uivvyuJdveC3pj71Zl+pg7g3weKyv5mQ2AvyE8YsKpBkfuu8bUD0wi
rI+uDJ1n9D+gcqZGhO8d9L8Z62SC44Cx5Pc4MOwy0Mp+1o5gxIRlNeHtqEh+NilQ/zU2Gic5lOj4
AZ3Uj1NjcVbMteCApvDmVHPbWu7rESPwihCg7s3j7f5Uke+8uJ7pNc8BVp8WBw0USoLkBlFsLc2c
UuaABHqSDiCtuhIsSogmsVmxWp+SY2XxIdx00ohS6nbdkFg4eezcFU+vMxFKA6erl2fQYSFOI7uu
7mRDdtRmIJfhWhuVT8JL5Qu0kH0lSaztbJiuQ4wMMqxeEZp2n4KWaF07Vf3YuEBXjH4jgVxuKh0E
53ZCFSr5HLLk98xP8NvDH1mE6dEDofeazr3xjozYDYgTmpwPL5nGU98O0w4tdnkTaDIfJEhSsi7l
GB2cZZ7EZO9IRR2jtnWGQ40P6tDxEn7CR+jhxhjePamEzS43/L3Vlv4tAQPHuFkQq9536WPhGM4V
80WHcTZE0rWuGZDiP63JAfWzKTqXDaAzh+nwVUJJ6SRiqz4fH7oK+O8KezWqUNbFmFvQi/90Aci6
GHjTjg07Cq1BxK9NEHZvOJKIDTCK9i0lt3YDAMW+Fp0qT0nm5HCrnB/pxITKLTujmnL2PltUUIzO
qn9wBiEdyEEcCq2855n4w9MsTXNrze0AhIzFlTZUfKcjN70v58beTothdZtbVXsZI2dJppDV0ZN5
/NAvazK7Ajm2ArlW3ZMsn33Vk3Ae4rxod9OybNNB2dx6d1DH0q/BLI4J2beBmCgP0I1uR2bQ6wYg
9g5t6vwZE2m9ssbOhOVhUwO1KdbUuBTXvmeKgVcofE8IYf0TJZz5rqRO41rtHydZTn8SarG7ogV4
N+uovXa+Uk8tVR7Eosx0djM4hxNKleoaaT7yvea896uy+5MkWJsjgEufE5Q10jVCWmqr6P1r4NOs
oT3j6Uq4VTaI3gK2VtwpweD2DMzpsexI7eYqTq8FANTXLHD1ya2i9BXCKw1q7OV0ggTOBpigSKG2
rXsfF8Ep8vthY/Rd9jxOlQAtkxc/zjDiDkzMQjwH1JN3Zs6dh1cqsr8DRAYkgjakkZlS49YjXVUe
DD5o1haeGiu7tlXdWwf5BjCe4VRv7VjhgQrC0XpSgOSe/UboTyRrzFZ81dXFhnjf4l3rLPocWhMY
TCg5X8hNbjxkv7Z8nZtCeRdyzohOyDGNIdlWQfQp24H+yu0S+6v3Cu+1FPmMjsEvP8fBqlBlmf5b
ScDFmgzn8iKp1JLVwNnBNwS0RhVBtksgLjyyPbC2lte4B15JfWss3V/JqG4/uxzontXXyUqLINoC
X80OU2djdcbuedGY1FelTKr3xjeTnVS5gYZRueuUvIyV5a9bjviSQPey+CYjxRvvQkPG7gFGyLDE
mRPR3BEz+ErGGMJYYD3JT8++aRc25rSdyCIg/3weUDWWxTS9IekGLRYl7FL9BE80P7ykJnBgvtL4
ayffUQU0l8ns4w/E+daznxZ8gBJr5nswWJJMZaBHBkGyeHXy+kerBGYMqJbik3Tg6YdUcJKzXYNj
KDLmDd5BsiR6w9h7Y/KlJIMtq4To4E+fmLOnDWk4JpxIQmqGOAVY1YevHDLlkibwZEYDEbldYpxl
2ga8m+i/uzBzoeaWF9UR+hV3wWObaOcW2VF+MaUjDMIIYHGuxkgd3bbAk+oU3jFBfV/TSgD/mfOm
KzcZ7CCuqRwjTltvQgCpXFWaJw3CEBDL4JrIKYbhEYLsWEhEJC/KL0CCWMJVUeZ8PcwiLzbda08H
RaaC3T6mk38PCtbaczcPjyRoAkFpLfBHneEOpKWGDrZUu7m5QJKWmdAHrD3ASVB2LfwtRpHeqOzI
hsCmkl5jlpJMu7QbS/R1joTjSeMJAWB2mL/N7QZaU/ZqZn7mrcKh8R4oDTJQO7GKoP8kC3nH14fW
YdeVZnaysTV4uCCaeC6zKMS1S6r9riU6FjxJVzZnp2GWuHY6Eb3VEgehbiqYjwueKoXnryFU/LoT
e/fBTrr6CjEzW5d1Hd3HyCau5i/xKkJgeu7YpwKIg4clkkmfq9aszgkMv0fPyqpdMXhM8gTMwXdI
VO2N4ZoGOGZrSppgAW/VPQFxq9mpAH06099wrudNu6C6QAqb38YsSdCL5ujJ42RaeT6uEa6jWZDI
F6idTDu5w7Yy30LN9C0W/oIxTPPgOi4IsdkguG4FaYP/xIru4JXD/Dn2C5iRjKAXz605BcdS14sy
tkFMX3Lr81DrGz2BePVg7BHZZfbUXKDPbBBoJL2gGYUzR7uHwQJi00uAIHyVLuw0a8rBqAHtGrfp
mI0PfiSydT0FxrFdyGvGwmADdFb/wU4MZmEhtGn0BxzG+kC7DkU/r2+9Wba7RgVMFeeRi5Tfuoiy
gvwCd2rY2RnX6ab4JcJNCxzOsWOe8bJn3OAFU7TvVN1YXDyiv7NIu3z1vNl6DYYCj1k3pfGKyRUg
mN5Lk62fIdvAxJxUzzgBcnOXuHqcAJAsFDsjY5Z3hlomGMlWJVkPWBn4QMZKGm9AHwmMh63B7Jki
GhohaTGPSFBA55W+lzzF/oz5ma0Rw96ZnfqwAdbU/aR+Pu/nDiCfErP3GPxS+nxUe/U2RbKS7dxf
wF9a47BdZdBYujVafftRByzl1kOYkHCsgrB66xw7/ULpCz0wDAbTOY66gWM5M+p/xhlbvNd2NOyN
tKhvI+gJCcym1g/9L4ZQLETCamAQBySFTbNqP1wLZmEUIMLBYRX+MUqYxxWGAqSPvo1/WOSvqU5x
4hXQY3adF4vtVFjIVqf2yKswb7VZjXdeghFjSYEvn9q2hz0STfMz40v3FNTCv7cnmE6bdAgID+pm
sjfahb3I1ABJjywEqDGzYXVgjKPhbAx/aA7MkKGlNLIc35Frc0EwQp2ube742y5+SCofU5QsvPBZ
tVFxkQ2pccpr1EYsVMhIcBMcNNcMgCaAGl+QAwBJxhCKNRLivCf+qjDYLle2Pa4qzLjhBrMdIJnW
ZlK7YVeO2cS2ISxyjYj7zAnbB3sS8xuD8+HB8Doi7UPwlknh6H2rK/vFVmq8ofFxtklgEP5aLkhM
jcXmxnYfCHM5gBhqKxV/JKOXnVvD6u8bQ8DKzeF4Q7oKQEPzFmT8GiPjuJsSqqx16xv9OyFi8Jo9
iusdPidcbXEy3kbkE2jkHcWWX/FCPJRpMxtrWYkFkINsb53gOXySEYNeqFIgpdPEFxCGoYoSGYTF
DZ+au/bCmEZqBD9815SWfqxlaT6KwS5uk+GCKZ2ipP6Yydq+834Rpn0deFdTGyZjnEKnxSFpa+vF
i0OBxyiERZoTJLRIGph/wpTJ/VMKyPRvoiB145tgVkbwJL1nb9YDAVlzXGy8yaaNm5s+e+PT1vfr
gtQ9avpCjzdt2tHfwWiXA46HyLX4n3wMnEfbauerKQr/FC8oV1kDdeVs5wLSofmtna6JN2HJzTdU
BgTKBQc7siE+jQQ2XhAy98d5wcbqzkn23i9LdgiWFMi6Hcd/XhrlmybrNvQQGfmmpCgeCmcGK8u5
vSEbK3tyxt49GaKwVySGdt8F5LSKKK2JlM/MLA6p44/UaDKvP60KN9BWdn75SIvE9Lsq9AvJc8FD
QHX2d658/2kWDb8QT7jTsq/fZQuhv/mF6waJr41Tq4AzdryGT8XC4OUGygMynIfwGQq8DWQwb0Sy
LXV830F4wNCgXLYHnC1ImjvHOYdm297ntp+dK8iIz1ZUYt8HbXjvjVgyV+aUd39mxmrLhdyLa9Bp
vYtINLTxOQ3Zo4qxx6/jMBXVUxSV88OoWLHFFDdoZBPvgeVWccxMK37Uwq1AbY3uuu9rWg2nbMA5
WzGUoyG64ezxTnyZvPF0G1/jgjTmt+9x1KstqUnjJy1zcNct+ONpzL/B1m5y1UlSEBZDVhpOCIMn
4OiDTQwm2bZrcNxPU6LFVhH1xM3I6PLYauKDV/YwJttUmN6zPfBzIXTl4ZkgMjsZz/WqMTTwa9pX
NjSQkjEf5NGxpWz/48elR4CgCavWscfm0aGgpxPIXHiVQcct1y9c6KR3QUTj59IfZLw3QDVITv9F
SVd4KW/YLPzrgO7wYWScQSTwgp9WVgSKGju/PJGg6APWlAdO1egeGDJ4ZDILt6rpxE9VREB4tbkk
p1mlNpI1Y3fCfBWw8nztUiIgZvGLN1tyZcV5SMkSM+FUlhhIUmPbUq46q3pln9oec17fbVy3eFnj
JtiYvmlvg8kMSnCSsHYLiHIsrVqo3J4d6Su7w26L9if46ReE92CojFmwFXyYUF6J7kapZKyV2Yen
LnIpZP2UvZU9d3QwwoqHsxaaUc5CCg/Y5jDurdzPyoVkAn2pNY4RWOeVw4wkWRGtOF9bmEViHfp1
BWtVx09uwc4H2A1hGSB7v0uA+V8JZeszTjFoxp4al/OfJI6LB3SsJB4Q6nmt2F+CHqPpYURKaTLn
9HirPuUw7rsAVWQOE5OLRrXxFT+E+ZXZC2x9qCIy+ZqJi2taQOzRQvXjhyJwgzt4XMcVgUeT20pu
rgXr3mgXzyupiAW29Cib3upACfY2EOGFqLjziZSEbuWZJfaISBjRhkTc+Qqdg9ObRCV1wkSvTxIP
BsGBavL/hmYKkcMz2fit1FhyW4lfbL0VTu5dlScxJInWVi0f8wVynxceDhTP6+z6Eo4jf41a8PgR
ajYAHgs5P+sb9iiiUOexJzIZ+pVhHBmy5+D6mkWFyprKylZRl4gXdrZ2thpYiCKcWjj99ULsr9ig
PnB5Ubv8Av0j8PH6CIDSUhtfzOM782axbZD6PMulu8pxTe46ckAAw7If3A6/qIkkM6/4F8W3csrl
EstCPDuqgexrdXjZXFQE65Dh8HnOTetE3MV4B4QCpCZhjRsoxiURJI3YQjuyeLJ6sTXS4QGU9b0d
64HuWr/j7GxOU1Rkx8AojG0LfX0zTHX/z6rc9NpRTtwRlM75hc9l4/smMWl9JQCu8G9z6rb43jpt
vptGTciXjNUVE57YlmjJFgptDxrIdtv3uKvmh4bQgEupsBCD1ic1SUT5MbN88y+GG38rq6C55B2R
aNFcp826SoZk02XD/FcTPn2QcBqOkC+HA/U6Y+KyI5b8/0tm/28ks3Yo0Kv8n6VBTLo/m/9ZQf/f
v+C/FEHBf2xOOGz9gkWBEzh4HP5LJmv/ByPKgr0Stmu7v7r6/yGT9f9Dw4o8doENeOJ/kck6/+Er
yJS2TXMha5jh/4tMFtHt/6bMESbkLgucgLsYYsz/XZlT916mizC39xU4nmcibeYNCYHFafTJsOux
9+77Ov+IYbagOA+CjwRUwEWg9sYsyS/OviBL7BqXjnpL45j9KGTxqxUWfnQckS6ETGeamEV743lv
Yh5AlA8I7C+RihfPfVsXR8WUG1ZkP7+Ftlf+zKXfviGmwFzIWr+9eb4x3iMkQLmoQWM6damgEgXi
NDa9eOz0UJ8dXTDcsLRfAVhuUQpO/rixhGG/Mc4RDv2yTs8w/2zg0LAFn7H0z+YRO45xZu3OQtB1
0IGQPgm8gAyA6AX3X80iwHDPXggptk4qqKGpESisxMg7XgnSM18idxpCzFeSP9sGJbhGV0DHgXNR
fIeLiYX+Pi9PHIdyx9ZE3c0iBS2foi65mHnqO+uG8cgqJyGahZJnNw8GlCxSJ7tkegjxCu0wqxZX
aKh4KE3VxagYejfvbqTBdz/s6I1HMhIiRtokin9WFuDNVWxQ4TCXneo7ALoudggzQEjA6N7wQGz2
6kHP03T0Bpa93WQT9UwCEGDKQdm7isrxgsXLPaaWJecNIhF7l/sY9kTngnMf7Z+4zXxs4LGbGqsi
c5oDiGTcmmUI0Gg9tuYCoO9CYi7mIE/+aFiGx8kpyHNiYLHTvuU/kTqJdok94/fUZrjhU40/ucOy
+rdCM/Jhtb13WjKKzsiWywe6bfHCsKm5KiK0yQedTN/YsbpPje3Y9QUEUSeVxCekNICdhOBAaE14
a+qi2tYuGSlrF/fFibmqT+hROpxcwm0eZrfyzzawOOaKnfsnJxHumYupfXJMJx5Q2aYmsH2jq1ZM
eRGUpO4Y3sGLim+VR0vEXDRor24T2Be39sXRtDB2wActu2OnAZWReLyoxhpP5QcCAtKHRHZIXVRI
7E806KfcnKM/IVPTk6Ec58Nvcu+MdTg7SNEIXqbSCu8acqbNletjwFhVPd5/AmqXjGwVMppdeaXG
5Gr95mgHeraPGr88+wCPGzNh0PhI9u28C6aUXW9ibNyq/lNVeURGCFO2uu2N19qh7mhCNMBjZ+z8
LmKeODm3Vjms8Nxwx4KVZX7jvEUxiamd0LuyBCKLUChm0RcM31le/7XQEt3lXvNUkyweJizyIxsN
Q9i18Is14gNnuOUYxn3KmTXEMvb3wqNh9bqcCPclwRw3IGnmgxBIl2isQLw647RqS1QIozlB6XLS
zj01Xs3a08YZ6DAYZ8/X5hekWN6Wx7B/waNfXA1in1aNZZf7zGm77qH1oN2gVlvi2WfTYAwLypQ1
CrRJSiQSQ3o+rjL+qwrOxA2niSCNB6lVeFpyH+O93fHirHx4CyOcloFvki+i1Sl/c+NHe+iMy+C2
FBpD4KtvmBGAsqzU2AVe6vKxaMe9lbvO3uwdE8pHzUa8ARncD6a5z6VDZpWco+jF56Vdd20fsJ5z
8UVTqTQkbS9lq5nJelukbbcD/UcB6ybmU0Dn/SewIB1TvzX9OReiPNp+pO4jRuA7My2TH8qCiAGH
clkPzq05kQWlxm1iG8TxzsLngbf77qNyiHfFEcGumH1JAhIvYeYCmJgZvvbFFRKJx/gtTA4hOejv
pLFBnW6mZlNHCB5z0C3bzCn6JzOzGtbGHSVnjmNzI1Lf3+sOryivv75nrb8UW+TjfMmxyLYAkQ6z
dM+w86dLixbrvRFSn6UcGc4p46mretitRaAep6SWNw+u+E3Aqt0HRWHf18WlSug0SIC9p9lJNsK3
+xdIO/1OV0Mh1jCG6+OsKuPO1AUjUptP022Ag3vBZZz2a9WF1olO+yOCe/aBilu9MjErr7zM6iFX
s/OnxcGhNnVjjiTiZX10k3E3XeIexftKyFlv0q61EaW0IXrHgLlvPheEHVDnbp2wgyI704DMvctc
vJ/PDYqGhFRe3rp5UBlyMhprFkgCECXY6Te2LmzNqrG9EVUJhCfLZw9EzFyttZem37WKO4b37CEw
nLvJE9FyfMqWv9tno3vfFolAIgZUQVgVOMAhRsMeSY6+gBEWXPeMBUxmjS0qWbswLr6WTG6dJSl8
4LqvmpoIO8tj+6aGxzjULm4EBqZ7LBDqGM6T3EesMNdJFGVvRtHNL0xIxWVGYscIz6/FqXKimjgN
dlVHadrfoOnBzVuD+oLoXastuSHVy8gghc6X0qPYhHXjX8YqSK8i0BO+es5WN84/bV0kfIxJL08R
wjPc0vbCLYwkErshVH8GzlMS4GLTNrYTXpEHzD4WZKk6mZ8R7wqxjNq6Ewoi71XXqn8ZU+ubhUQ5
75MIDqYvM/tG5pT8x7pd7goPhudqWhizk8amw3Q2xFiX2eI1bYg38DlqPiO40xy6iAUgFisTsIqf
utULgs7sX2bjx+lsVJx5jFC0ylvrI04F/P6G6cytxYuzHTlER8LTtgAR09NMTsZ7GMkv2vgDj1bA
GC4kYF4QG9QbNOe19WSyTlohFxtOUx3dwSmpiX+o03XQDfOxSFn9P6mGh+TQkW1xHovUe+oLFUH+
75Zsv5B4yTil6HBnpb+AB95BZeCNmkRzFJXh7uuUy3QFJSXdoDSGt+uKgXUSn+luMrlaCQDfVdwp
L6BgMpwwTYn8z2ruM98ZX1Q1GxuWqswWssJbVzpztqiTjedg9NFqTwlkBhE8sFrJ75pBLn72JH2z
mGke+ybvtk1fVN8EDaj9oNgRA4UmF8Evwnf0nNNt4at+90jMdoOeBxCjnjc9NU5SHzow7rtK6APc
x/gSl2QHqz6u/4SFZqdkld6PPxsW8jv3BmA/OecG130Bd+kLdCSKx+RX/UibRTr21BvJOfvVR5Iq
Mv5EEfTF+Vc/OS5SSgRrHCSLvDKnu90Oi+SSdVu7H/IhufcWQab1K81sLTa5i1wT1g4cpoRwBity
gJzo8Ttf5J0JOs8usNuDtUg/p0UEGixyUH8RhtbwpJlvDBeKTnyUYeHcskVIGlUc6+UiLq1sVN9+
cpna+AtECJrl8OZLqXd52cIdcxaRavmrV60X6WqMhpUzkZQ2sQhb81+NK5lKRbIm/CGljFhksP4i
iLWnFmmsyQbqY6jmwCduU49736tC3vsyc34osspuz8TJYg+Z1PtxEd76vxrcOa+p/ZCJhd8MOyxr
x6ho/qOdfnhifehvHLSfy8D2qqzUfaSYnE5kLcC2MbVCAp+EVHOL8JcAIFbUpbSQQw6Naz9nypKH
XLeQvBeOwdCmZ+wB3h0nAlusRVLsSTjxq1zayXvFV1wg9E96TZ053zW/muRqkSdnVNZPZSOaC88r
+De0/4TZL3JmRfONs2gROTu/emdiCdE+R1S40LoUVLTRKrKnmczXelsNlfwoVJxf7F8dtbVIqtm9
FRulcPWCekpzsYoX+bUSrYvyP9doDfWvQpvF0JKjR9AVmYBRFb+ZKoakUlUtUO5F5C19Sgyn08eS
DJI7+Exetml1fhW95z8E0nTwvvl24rOnLvLvYJGSy6oLrl6o/I8OZegRVpUBIAUeBYlVDBTidVSA
ESDLKMCdS1oA2tOysmqUCgNM4KlhoEMmxbQdA/I4CEINdk7t7kMVZviVK1YZRhxa6ymNmj2n1mfP
kG6FnqYEQ+vEe3Zh+Rq5LXNxeS9q96deFPRRURrHMY00fgvjyDru4LjJHdOHcNV7FatcIE9P5iLA
L5iQ7KNFlK/MyF6j7t0bS4vh+xBKCIljUrErSmpDvpOT5xY/JkycTSKNg/DwdPFGoKD2uHISNl3L
pP0tbIaMxbZ8RhiPBiSTLyjD/BXt4LBr0vZGdw6NeAiu6GPYeuC+s5N23NGMfMFzuSg33RSJG6zn
MOFuMOUfFMQo8GnNkCWJTdv53mYeCCpTZdwefYbh23yw+hV4mBmmem5v7KJnCup0fJ89IRoA/8v1
kCH2ycTGzMZPNDQb3cWHFh7dBobZbUZjcj+gc9+y3p6vPHuM7+0IM/UQWqthmBqITljsT2mh5WOE
+m/vRBWTxLrv4P7/N/bObLlxY+vSr9IP0OkAkEgMER19QXAURVJzSXWDUJVUmIHEPDx9f/Q5/4ly
+bR9/oi+7BvbZVsiQQKZufde61s9KiE7YXqK4lFul6LNOJQKuLKTqUJAR8oMAyLSZxkIv/dqBEQA
c525x6VHgwhGa5O7u2y6zgmlPext4YYv/dXPwlwFawupSRQs6dXxMv1uflmuPpj8d0uME2n/Ba3Q
9N7JKDwCmh/VvkHbz4FGvQKW6iOo1sonTnShwLnByZc8ODqaig2I7mWvJ6THbBzGl4iIwMfOiDTC
TTJ3IMdleXvjui4StcFrG5a8QX+x7Y44M25Fo/Oe0KqQNIfvD6Ga9vZTXr8vGi1b7VxRZlMa+Kr1
NygIhk9r7mOL06nhnaNewg5cQsjOxJbmbzPdvYDkCkjLVRMOX3myCHBVGqBZUcS7wpmc3TSzVSto
Qwcr9qObFAL9vvPoEqy82PQ3ZMLpI+I9GgxFZIwvkcrytyr3MWM6XY/mCcnzs8fBxV5FDlkT12zB
7PD/u2//SfcNmRNK6L9swO369L15735uwf3rp/7JsLB/A2ELYMRR6Kq5Cfl9/+jCOd5vhLganFpN
y8bOfu3P/VcXzv7NNZGqMrKxvGt/jh/6L4aF8dsVSYvXz7ZgcYK4+O904a6Yk5/dcXjUXc83TIgr
VxS++wvCwreSwWmRHmw6QjQYYdGi+RKz/P0NbeWP/BlIGfB4bYx/CJIdsi7kLy/TcvBMR2bZG4eO
0tfBEN4WIHDEjLTLhl1UADL6qQ16948r+BkCa1499n+8MHyQiuO4cbUwQprnv/+EnPWLJWN/DZ2N
a04+RlrEyDHKnbhghuHKco1eLHnE7Z7uu9B76DEfilXNT30tZzwGRu2nN60TyxsTbeIGpAQcrzkf
T0W0LLfmlOnT37zfX22K10+Ir5xeqPKZULnXL+qn95tSEmIlpmGVhVXxMQ4EING14q8Mv/01rmMK
9ch1RtqI1UdDw+Cjn7zxZY5SvQPjipqSpfqZLMiO6ctS/fjrt2f9+T7h7V17xiZOUe5J7sef357r
ow5lNukAndX2KVlMnCeJquTabcf4OFP+QglBx3rMOzltDMHYr8MgveE9e3ucDu4Xa46KC6KLo2lq
VBXiforoG65CTnS0leohe5O24+1wwnDwr6zqWw8DdIc3XT/89bXYeFr/dGtw4MAKKxHP8/c/XouX
LKPR9VJtNPlIt0TxwAiYJitaUyDGN2OTQCMtpKE2omrHD2xeZEPmRYmCoyxAmEyOL+77aereHHuQ
AkFDeVtkQr1OHM7bVp3cJrHWoHMJcclFdClBjx66CjRfE6VvWpGamoTq1WcMd+4EVWyJn2hO8NnM
KDHhTDpn+CNM8EVImpMVk6xDzwWzO4JVZ8XphfHgTH6KlY/yxHwq/riy/haGPVIflVPTsUmRt61i
VqMj8/ZxXqUWOsx1hdXg9a8/y98f3F8eM4pSZTMOkKZkOvDHz1K7nAhUO6sNLOLiUhlZCYxgNG4h
9uxcaf5gqDVdeoQebVBMWBn3fZOPP5w6b74hl+5OdQRMcmUhoDmMVZ6vXcJrHJQrrhlwYtJ3VVy1
e3CV0XSMdDF/+P1o0qsJqyP0RZTTMotu9eJEBCdqVHJzZEy3Xtan2653jL+5cVhZ/3Tj8GRetwT8
0opH4ZeL9QhpJ13L2bRZPZwB6Pbh9aMlhZll/U7Mjr+tTYw3RN4xUqu96Ci1YmiKflvvzcX2nmlx
z59Uqcb3v/4e/s366l0X2et8xsEBfl1dflo98gguRq5GRX8I7rFsqh80jg52R5CdOw3/QFr9XxHi
/+Zj8Gx6G/QnpWeypP/xxSr2h5GENbWZ59Z9NSjar09xevnrS/o3C+IfXuWXpzQn085pJclMmUyS
T6NCWTv35TUMrivn7V+/1r9ZEciWYY9mR/WkfSVG/fzxcUumWlNhbErwaUcpiuUDu7RzazcSpdDU
suyWFBgQjkhlufPLsFn/9Rv4Nx8pKTU2aBrWf6Jyfv1IxUinPFZqk4PqfjHHmmZ4uLh/swtbv7rw
lWdycFDKYwln+uYCzfr5Oi2WXG/OU2czqOZBI9IMiCTdpRhzpuKpIpx3KmUAt+rjylHq41xciJgM
V+wn8LXlOK/9vqe7HtvMR+h77tyIgk1NSGI0RqGZFBedMC0zwKppm3MvqJalWRdj/YlU6m+s/b/e
H8rz1LV5d3X4X89V1+niT7f8Yi/Mf5A7bWq2HaxYyN6Bh8NJdirxN9/Onz42H3IQGx9FOHNReO9/
fKl4Qenp9sJHUulEN+FMJ8w1luEYNWW+lYyR9nzU/t+8KEfBX59qB1IfU1p1XVldxfHsj687UuNb
BXbmzZCPT4qqeyMjr9n54TS+yroqHGwI7QMZwYcmGuGHlKQlY1N4TyN8qYz5j5x96D2QHSRD567V
aBlY3K64MnykHRKPNkzeQqt9qwZslQYaV/qv7aotQrp1ME5XmCkPKhuIZXRb484n7SaoC6ah5E5H
K8GIAivAbGxxtKmTV4XQfLCbakvkW3fC8uqjEAEKVtz3KD4Z90WaB+gB0FbAon/IbA+zXNVfFucd
ZOlHaSztpVwKRX9QRa/QwfuLqFNrO6Yt/pGFzM+i9kjXJmseQicRQ/w5T99m2nBQg5MS9D0M3w8r
R+Vtxzb6GLIq7bcpsRDPG8WT1ugRvR3x9TTnIvM7ovlmgycMybSIiq/ESSQLSmrVbBVx3Jsy8TWF
nyoCHN7F2a7T7M6cHDJFrbTuNthN2XPRMn22MvNOcF/abQK3nDo9Ax7qm0OIfcpBTBeyS32l9zhu
krbE8pzOAfbER8rAao1IFIl42fd2Hix1PB9xwtv3AH5rOu00TiAdAW4llqhcdlYO/9956hmzzkTb
dLPl/5hH2gpj/0S1/plyunxJLIbUOF6Lje8NX4oYdEsxtduWUQ+a0dp8gS0l74esIUlt1lXB78oZ
HfuLD6Khvi/85YU8Ze80ZGiiOw0/IcY5laPLRURFX2u4NNPCiGnJ1R3To+KDdmh76RvPsFdhHP3w
BgiiTJjaPUg2fd/mnvla1jr/MiZyx7QD+TOBjN5dVRX6njocydNEg1UFhVWjJk2H+TmPFqSopHU+
a/RwQS2a+UnEod7pSmRn8pKjPSgt8ZBx0Dr3qImDFLzX2qwLl1d29DlkgrrJxolIC9r17yI0m0Pl
VOpMLU2yH9/enpyl7j7u82/N4M7f0usVjoYSO6r0O3wHu6V6MpAuENA1X+pwPoXCbXepkY6Hysyq
7yHy0ydAy3DoZI9Pmq7kmsGDSaZsjsC9q7v14mNbqKZI3bv1GJ+zulrWhp7NoEK09sMzWqITB3u+
KYg+v+AX/4xr9VaSKo9ugQDwEPV5Mn2huq/oQI9QlmZErrFkdNC3MTzhkYS8vom+IOz/AvevTxFF
mM23vDK7l8jLnH3h18XOl3O10SETKiqfFvZHo9ZQyZw9hId82wi4Y0rypkzDwf/RlOKEew0FGEjs
2yYrH1hhp31d1CN0WYnDl/SHneVeHf/Dp1TRMa+wo7QY58pVacgpSJG17iz8LI8DLLIN8d5imxHf
dsFMjP6xEt6j7Odvraeqh7wZnQsptHrFM0jMg0yGQ16ou0Ub8r6PC74TeoHlGj1Uf2OTH85D1cXb
2B9HdOOSxgo56W464OyUBBzg8ACXES7xcydRV2VSL0fDIO9SVXUbzCh9EWW1COCdGm68GafvENX7
2yFS4zlZwvxezdXItFMUGyJfunWcpztlJ291DI4hclKSx8h0ZV1lTjoArp9EkZ5pzjLLEZP1XY5p
vxo9wrxrPzbWCfCAO0sU8B5DSjtnKwv7hWxcxRoYYVaMUQWbbnYBewKcI5yPMOGZ7BCRkqVPgBpL
rlhn93iCTbIpEuvDWKb8QQ8pJ31vpImXtjC6V81SprjlnUtjOUgddbzs60k+wi0LMGJbq74PB3SD
/a5cdL/xGws8SH2MEZ3SDv1WJswOknKwkRA71q4RxmOVaTRg03Aq1RDejj1ylJVilvDaLYW51vVY
hkDWLXwScVi4TIhn4uj10hw7s4tQsEv4y1l07heSxzprNIN4lIsVuNWUrUTdoPhPfLzIqi1tIBl2
Qrs0RB3H+LwiZ+5IuOVwJyD+bzGZlYxdKn2jHGxKtlPfw63AhEkz9j2xmwp/kpHtzNBFFINSha6c
ndwmYSNfedfVpu0zhSQoyXf+5C272NExNm6R3tQe0GPXYeds6MzxXGh/PyR9H9AppxxEyb5mXFkc
tFQJSz9ZoFmTGaechuO2q1m806S5b8wfWUwfATnu3D55nVtiqI81sW75/ACzwzsy+52P7uKmRzrr
88bOu/BLufjzaw8qnQlCbj4Qz13vSmWzF8ZWurMbZLQM7ZZAo3AFg4YvWmN7PCQxcolURmy3MfNn
J4vXU4b7l85Oh86ir27HaFZHnCrqNpS92iA2Np4sBCP3edJJVJ2jd2v7EZhMP41OQ+HxT60/wFJJ
P3RRp09Ij4jFY9K15xbd1D0p6oWKtyUGbSK8m+vqAhUcclquOfdjepgPLQ5cKZob3V+UgVKjdcrL
mNPZjMC/dwFz4XAjkKaeZO1UD92SqA+V1MUroF1F9oX9Moe2WlcxuWIlwpCdGocGI9PSIf63/RIn
i1MgCq/h6kicfbYr5DoBLhi4aD8eMYPbBgfT3B+25GTHB1jWGqsbM9XcxKK22AU3ftg1Qq9B3tmH
NBqYZXrGF8/u3DuPn8dzLcQ9Ttz8tCT1BwoWsNhZQ3gY2o3yEcbe+Zq447agXrzmJsqW6E5lvrOe
5iGDXhSnh0HyOUduooJaYnOiHXVqI9KcozDgoBZum7AYNQ0CAPsYIP3LaPr9peva6JkSEzMSLgAT
FD9j4ZXbDs3Zln744jau+VAUnXGyulHfSCQKJ5Bu7UeLEKNYDXUcP40lb0YYtvqUk+F/9xJkc1kC
xcmK+Tkz9MSaoOkGbDiHvi02WQkzaZLzu+W37m0xtDMZarIqN43vlg+6dMtDXKfDZ47epAdpIvQR
7+8AClxLXMFmYj4j76oR6Wa+h12a/Xqg/VNhu8SZYJMjw1bZ1+GTrc2eLx9r0qqFtLKba0nYSBvW
jr7mBWLrba38pVL+hDtyyaN10zIxWGkcDuEm7WXMLLNK/TPGt2FrZWJcS4oh2IWhUG9RzRbk6jB/
wzrkwlsSglHJCOdkHGEZ+qAoefOwfwvOM6ncDFrULUALsVwm2EkcmZpWX/Qct6d0wPHuLN+I6PnS
wyvZxvFs3TRRCKKpX15JxeaBZu4YzHGGU4fYzg2+DTJpr9uNYbmoWfxmqa8tomldFk691rnX31qy
YSoa9vHWlWl4gwW7jFZNEU6HISb0hwFOWiAUZndNViZDmWLVzmV6FCRLv5QE5vThx2K7D95oPTXe
8G4SKkT2y1eVta+xZdv7IhKQBQfD27dGib/PKNzbfPCyDihjAuDKMMn+qSAInwtCEJE/kZxR5KI3
aUVZnJM8VZ581XSPos0yolc8dIm2tvpzVibADVpHKUyyhGoHvIX+rg5VdJ/702OIe2bPOKl8mxZj
AeeDKGpPa2n8HNKwe1wKt97NU8XMTWt3D8QzwinFtvfR9yTrQEkGmmiTIRSWUu94kj1sSE3F1DEd
94NhMvUklmrVmD02+CoqpyDybwjD0SRD0HBZQU2t1wiW9cEFkPTCXI9Nx/MGcoaSCDeGUy3UrAZk
HkJonOQHP1NucjIdCK6YBcZLjjGxDTECn0k2XsMCke5dkGwn8cam1bppLL+4JbBA4Ix1KnfLNNvd
pVhKWHLtSgZmYolt2freo5hcCgaXpuEzM8DqjYLdONKiqMCYWD4Pd+8TTAQL1A6XezMdcdAV5UdH
03E7yc545xnGXSbJNMp6b7kTg4HBnHgLjsFEjx8gjYqTEcswJeSryU55XIeXhsMHnI6M2aKZV7s+
9EhHkLZ5LCIPPbxxQxQZZKY+SvBN1fGjPYjqcVFSBHi55ntw/SS/Fr5zDzbQ+Bqr3H/oM8s6WS6G
ZH5l9P26FH4laip+7MeiVvzLjNlxit1Ep8J/dpeue3IzBrfrvku+s7DkZzJIpufRmJMUX1lWbU0c
+F/Huay5hjjbx8SS3uZdEp3NJarvh2aqblDlyANAze6cmEW1AtYRfUl0HyKgIKZDI4M5jmCHjgUH
ti+Fn0D1aDAI7zjzaFSVAzhpryBMtB5caCh0GZILncHhJbPpDJIpWdxU/tD6iBTH9h5Hkks7ZWnm
fcl57ejknfM5mrVVE4JRJveSW/W+9tIZCL8YLeugXOrjGO6Wuc8amrKrMhnzLdqVch+XY/qlbYvm
rU5tAz+7weBgVdWLwRw1GtPn3lT+2vJmc2MXoiEkvigobLyoMG7reIjPAgPExlSV3g8hMCEhTfwV
+Cnv2CbTLfkgueQpqSNkpt78AlaPjJlEkA+MWX+NIRaMVl1258y92k4xaK28Iev3mksQK+3pknj0
3iYG3s45Wmaz5xI5L2pmHVPkqQcRA+pym5RTCAg1HLZogZ5NchzIzUDog6IgqVH6h9NmWAbrYg5F
Q3nPgecM1Wp4V3GYvpUKN8ImNFU3BFWJq/RBxnG3y2vJYVcsM+zgym5ZGaL5gQulha6bibwbA303
m/q8m1yn2GdSGPKlCMP2x2ClOaU1ncPyxrombgcUBmo8+nPiQFILTXde5zOWhTUnaSEu6BU672gy
or9KnNRrX0zFHiWJfMgX6e8TkTA3L4YKZzkn/LTiaVcaU2JVjOiiRmJJ62XpmY9miR9vixKwL25f
Drfu4unN3DazdUt7LzQCJ1EMqjxS3VZqrBEbIII9ZdJvn3FEpQH2GmJfa0DirfCmH4v2F3K2sNHd
EDpSfFOmvooCiWsLZnZY7GbjIG8LrLFfiEtof4A0wl24kAfPpddvfYhyCSe37m7YClkG+G7scjP3
hdeclRfN57ZySDn3+iXfDmowbumGRaznQ5GP60Hm0N/CSl+SwTfOFa6wr5SWlIvuWHvf0rTJ6K6z
cH+pTc/PNp4cj2kXe4gGRqzKWM0dDWzGx0GPpO6VkRLP1ZAnFHpJ9VgOoXcbNirKtsKT33KLBtTY
4nDpbIYn9DN36bDcZNk48GHTAluVi4hgihFLNPVTt5WGjo4aq+cFDbWg8dH0jbtCPN1u53LpDjAi
rY0WSdOhR6uaL4Doh33K9vUSZRFSUs+LnZQrIZmvWdLsveK4tBnHqtvzqEYI2XrzTrepIAQ5gyKE
S0CEIugm7LLBNM1hu1ZuzC45DcsJYTmFAdXwN0vV3oHuanS0humzNYfPphXPBiXAKicPDNslEn6v
Ih/FJlYlqFTZvzQ6im5wJvu3KRqoz8EFIrdaqmQ+09liZyg4WK88Ybk9nHmTNmiTACiatPhsQfLr
FbO1H/gGx/b79SVQEzsj2JMptmO1ccDxIFsfEkp7h3EmpnAIhSttDjKwQy6umkNK8OVFNWRuBWRJ
fUtQY2TB4CHfnEL3bog7depYgxWXFa6RnLR0dLBzH4euXg7NaJM0TSiYwW9xVpbAFEdhku0wGgL6
ZomY1s2MvLenDxft4FmhDPfGC8om+Qo4gCtnG17RX+wOzLigApWFfGF3CmwR1wtGsVmdBez9gLMM
Ero889a1uZzgUtVHH2kbmMFaf8z5RLutIDUw1NS6Ykqhv9Zjh3a7hFVQeT3PgTDVAWQTVTPCMAti
0cSW3GXWtHOw/oLFan8PK6wwO/SWPreETm4Nu3Eht1iRsWKlMx9xKznfaWVcU7pTD3cEyLvDYrYP
RdjEd6ZFX9AXLYFSTg9DHbBVl3Ifzs4MVcnzqnnPN96NAfYNhq7eyB0b+8dq8F8BArkv8eI4N9nc
6CDzFpPWbDGtFXvvDfgsefKG3ll7HFdeBxNWSYHWPOBwoDfWNIxBAtp6ZRM8eZpGSFb0EsS8IYSZ
aV1JfXUPdYO7bhiHIwCu5HvUYJrTedhg1GKMhpe8fC4clT0RXLI8CBG5L8zrK0qiJCxwh/c1xscI
DEHupDAo7LK7JhokYCd1bj12c0ne2Zwg2LE7AosWDLBaEsnVjFdoIurVMsDFiALLngrospwlUZJX
qPgS1xgDdN0hfuMru8Kp5uEryyhaa0eo1N/61cjRHiZrd2AK7S1X6pwutm3i9g+d6Rn7nON9xWrq
1SNll4Vj31ejuE/yOT3XVRVioS/QeVUN/LtRObeTXdb7MQPF4dVLCnCkpQZqYbo1Yarvkqm6w2Ao
n80pXJWN9TWpnHefmAfc+WBJVpz4auROqJXWZeME3ZyfCLdT+yiKjQdYSxKkvfRuinnMT0mbPZVY
u1FzDTEKM8t8dBswA5CKwgNa52Uj6uExtFACeaEzPqDINKA0quw8sZOWfVFeIy6gzsOyeHSWoti1
XeNsrYIuMw1deRpLG1kjqC84dhV88JE132sMIDm52E347AD1ursendM6jbsfHdXKxwxEVWoxBf3c
N8GkFhetrl5lmP0PsMphQOHhgB8OxDYP0dVxh0swZXKJn7AgbMGQbiRGlIPJrGtDqNh3m3TvYzSO
8kKeDoL6JrOhPQlW0pL+E4ovku2qzBD1irg+b2OpS61qSrEu00PQKAC60FB0DMInLTRhG/nRIztw
0WLjp+V5SET/Vvjqo/dEtOvFZB7mEhdH5+XOPT7FoGqhuC3dXmjqu6qL7GNTxxd6vxWzg2JXxel9
JRRYFr2MLE2UwxYgctr5w3ykAfacwVqJtOEGDB4CK8G8Ew1EGEtktxF+e2qJKf+QXZgEmWy+Lkt0
S/oLtucoqUDwmhaMeGb7FtuBUFutKIEWlRxAerWg3v2aJAEA1dz4c+IelYCaCMVXEBM4k+1KssLG
M4uUJiXlhDL96WtJyDG618xey8qhaO+nbcSai/M4ygYkzupbVZT2I0zakpTO2MLjOgr8J8DGOvLe
ZzwpVBXxjRIJ2GAUr+qtGUwRvUMiyng8G+1Q9/rmkwT6TK010G3L5mGT8dzqgFp6Q1jA7G8ZUNDK
aPBshcIOH2sNwCPp/crfuZ518BXcMQ+xfK0sNKjlgNhvP7hL8h66Ibuim3JLNYlZpU8iAXxgU5HG
/nuUhCzEJgbAwKgxdR2dhPoEZ7GDScr30+zej1wlD4yz0zwgLva6wCXpba6GJViyaQrGGkLt7HRk
zkbshw60h+t66iMrz5rkIR2H7LHvgCMHrBvlTqYLPc0xLIHwOonjvuky769sbPWRwcdaNbbfFyuy
Dkiwoa4LrGrKtwtWhsCrZxO0rWK7zw2+aorBgWoR8au490TzSqO4wR8/Qs6YOvcGVAc9fKSIKP3w
lCz5GR8zDgVdXySQ67bQ77GBXZ851wUcL5j/8iJFdAQNIh5t84oMJ04wulccSE7ccTE08LSmIq5X
YxvBWZ3R/ivY+9FsaTLX6oTp0ozUL/V3Q+F/HaLhQdXTq43yuVvx4PLEA3A+TEggIy/qdrjNqrMv
Je6khhu9SGg2Rsq6imzM/oG9u2SHzOiSpbkmFsDFv7fthD1Fq3wZik/MH3nQ2LINOPbAnI7lqnND
aiZ7MFCZgCsOtN+Oj+A8u+cI2y+0NUmTOlf1OUXAQNbHiXQ+ouom11ybXkyToiUd7ZV6oQC+Zrr1
2s3IMhwq2X1NzLQtgoZg1uPStQbQGXxyHHwTxsJ1x6ZbAO9hVBF49AvmNPL3s2H2a4NSx2L9Kaqz
kZfqsUaGykGL/mliIKfHsvDWRsLczVftJb3V6ZRUqgHaNS2vs0vVVgSMsuhsEGORXJymeB1HU95H
C+CBbdvJ+as2kmzfczo+gTRxXud6QUFbM9bjSLSooEpn3zhNuTBQq7p8DOjBiMUkvTG8SFpD36lN
qUJAJ54TiK00Kvj8+CRF7Job9K75MyUcaB9ok9lsBWNhGkfbF8wL2iF7Lrp63/R6hGc7vnQtcUZt
FT0zQN5p03P3ObOkTb/ALDdm5NE41hU97lRcZMRIkXUleYbYR7K0p6lMBm60Ve4YzY9ySc66dq9a
3HnnWs0aZAWKXpI6EV+TGLJ4CR34WG9iCwZ8i9KmX9mWjrb+XFjU+KhhnDU66W9WD70CUaMe9wX1
56tB7ueWgIL6oFKr/kDzDM9psrhBRvIXk1VR+8Njrkyw8LXZkepJfhPNtcW9dWOveLYmB/ks/tCB
XGQb52Y5otQfSie6j+vs3Lk9J4tBJzdMThg5WEVOdJyfQx4x+qsjqBiXhwWSLYHb5tiuLbjRezwv
eElIvmWcgAHtlYiR5PtiNmZQIq55dEhZp0886eSoFpslTLnktmaMzQYrpJAjqeSYJ5amZCLo99AQ
DQMeHLjfeeQcczPMACoYoWFDW8XxNLdAAIC1cRSzCPvu+MgDQjNespbQYM9bvE3iDKQjembKsc46
OK5mGxxjtQNcvbQoszvrRAVXreKGqeKwruvlHsNJmybis0L4HDQuhr3seuIdFyt5QK9XnaU/9FCe
8/QuXRZnz6Mk75BPLy82jKsNKnu1xpRcUu+pbmUt0GtUVqGzT1PWrdLKbtE5gdp2B87OYT0eWXGn
AGurt+1ZpSGVZ8z9KxjVq6wOzS857QZwfsTc6cyPkaBLB9S4n+CXqNR33PtuCOydvFOCZ2FW97YS
q5is2CCP+3FND0muDfT/sOhE99oksXo0uT/vY21yK0Wyo++wVA8KqRYyZ8tBGy2xq7HI0qAa7IOB
LYRuSjYnay9ToE0Kne361um+1CFrHREsDPTHEmXbajZSrrgQfQzdtgRPQuQN1Gq3ir/b6GjfFK62
y3wV1zNOFIGFUJH0dcAXHsDawDIiIkyyHGZKKedjLEgVZRUf+HbGqvbexSjeSm/+jAZXnpQv77ih
6NbTTSJxqEvvYmEW/bpPm2vlYMfFdIZXpnP08mPb7yoWzziIm3bYc1vXHB8lLdOx8OKDeU0jdWuj
na8b0WCsKx+yBJJ410UysPi35WCGe+UWzXcrAvBOzz10ZXepRTEfSmOCN5yJoSGRIEU+E3dJeB/R
LHrk7kq+ZKU2X0dL4pnAR7eJhIq2YRUuF6esAJDhoGWAOg+MnXPTeEV12T1ni0VjyiswSKeL6R3i
xiKkwnOiTz9avLUOjWwDH2l+rIncuC3xe2zZLfKN4zbtTTkZRActxmAxfjF/r5L7YJJlfRQp1ZcV
EV6l5sg8iM7HOcMeAs0t9+Ztaw/LmUYLuQtxJt6zKHJeZMtBu6RI2rcibunDQt+dEmjWZudscmvq
P4RfWweo8aG5cq2RIIjYTG4xkEx33JE5R2q7ecOkkX4nQYheehwtj65rDZhqqHf0emZ8jIJhTdd4
hb6Rv2Z0SZ5m7FI91BXYM4ExdO2jORXt2c6qWp0NQs9vOjI80C6Jsd8oaq19ncRM0JfMuJtl7FFJ
OoW5980432inQ6NiYoF2IUM/hYO0zrGuOIiYLk2b3Bp5nnn0dNQyxPSW/DluCiQkAgnV0lYnUYln
txSfEmnnU6FF/UCod7glkiu5nmqrIbCT5MUgB/kyQxd+klM2PGCxqEBT34+0WrcWXuTXrHLaO2XK
6VWQDrFJEaIcZZV4Qe+G/SvLyqsDj/Q0i+v5YCyys8xs61jmrbHLI2j3ETawIFRD9kE2cbutR8sI
mmJIKFUMVgcEVntqwwQQkbY6wkxcWx1yt613Q+Mtb0VUN9ij58X6XkjBeazVQOxzzslH+C7RGug3
fVmbVKfWwW0cadzFpBIgjSjx5w8SHGuhHfo+TrdrpNvf6DGEVuaY5qvygeLT0BxCgpuSwryn2Zoc
YSJKOIxdym91p22ljewQ9bm8027dbgrfNzEPlSQTmLQ00vIHTJetM7Fn5DiSdhyjQczN0q7xQ8RG
QMB3ua8dusaOF715cfyBSunTo9sakHSwTUJzO7lI1GrcrztdV58Z8RoAla4euyZfFXPG4jfbkIgG
QGzR7ehWL1PPsjMt7nrKGQwJczaYG8cbHtmgN+31kLjmIR/049yaexRDgWsM8X6GhxXg10KBwFQI
0PvEIMsjvkoXrbGKLLFfjPomlzb+w/nWrul+z6bDRIhfuW+9Kd3aHfFTTNwTism+T7+6em62Agrs
CQxQ9ghBwHlSJRVjtSS0wovK3P3P5YoTbxjdbzC2Re8iju0TJbCxXaC27kp4N8+/6xn/X2c57T6r
83vx2f6v6y/+XvFOkyju/vcf/9j+48/RZ3UNEP3DHwh+YKZz338288MnkDl+lF/0z//zP/2P/+Pz
P/WCONZfxpnuqj+kFl59IL//xL98IJbvKFRDJJM6YJAQof7DB+LK3/CGYI/4pw3kKkj/pw/EVNeY
U+KcTNfyXYlv6V8+ENMm5pS0QkS4tsmv87z/jg/kT1JD3phxzYGi+4yU2/hFami541CqfBw3JCCT
cTHGyxZQmBWYJlIahC7T32iIf1VvXj8IA/wMeld0y871w/hZvZlHOByd3Bg3i92CCrajH8OiQfGN
Ylr9tbTW+pNGnddSnuH6RLWi2lbGL0pi8jMwAsTxuLH+D3tnthw3smXZL0IaHIM78BozySAZHERR
eoFRooh5cgwO4OtrgTdvtfIOXV0P3dZt1m+ZpoFUMALuZ5+91xZ2zufdZ2PYxom4Ijjd3OZRPN4O
i4un0OnpCGh1+C6Lerzg1cuvytDjYUfvtbi2Z8O2JR86LweGEeuvLFvYs4Bu9O+kjMX1YDvdDxqZ
/AgviCKYic8NnyT42kltjFv/sqJhlXhz8Yy4T5mgq9IW/r2n7UtaOF287fAh7fpMeb96mWBhweQ1
boOuGD5Y0CW/aAIny0h8ZVdHxXLh4CS327fE5bH/EVNnMHrI5GLdtHZojzw4qQnY5EnIt8IhEX0N
ApvaJAfNlo6muFAIJMGsvA37SnWkS4g+VO6kICKH0MTTpvO0g+VZjfqjzHB6qE5eqZj3gxgHcFWq
OlezfK4wplJalbkRjG5wu6njV5dpKs4TwDYWTvQUrCxkq8SdFdjOA7bJCtOLOkOqhNAeUhTTAgSg
CMwCU5yQ0iF0iGRsS2YfERYJeOAAiyYrhL1Am7lmKHxNQxwp5eTlO7oLa+R1UPbgwO56BOhD0QG1
STDZuBAI9j6+3RGF+ZjHzoPQjLSO9QhFCylHwcEVU3IMFIp4UYZXTitANcBE20Zas4EV8UeV8RT1
h4z/SLDCYJI94VgIt2Bmq02ddPZOenxxR5a0aQT2gxmY2aA08tGp4rfYyW/LirZf2Og/DKfQRuCI
RJml19DYD3Wud8H6ilIrRCO3lzz1Iou39uS8+0N0FrkCN4/KAt33aGOroV0nhj3YuZSaEMCpS/Ge
yfLg5na7LYf+6NrZh+3InBCRfvX5HxY4d66bfYDTOJc9lUqgbrb5GDGjJe1TrOXR8jtag8abJMqP
vWudk0Kn+yaced8B51w2bdS28TlzPWNzpY+6+7b371Krfq1G9HtOXVi5pqCEA6Tk0GQ7QIHykNMk
stFTQO1XzO557E24h9O6wnmwyyEcZxucmXcONuI7N5p+JFH3dYoduQcMAGmGrpWtjKznyI3P1FjR
kUEpBOtiMC8ggHdzvnLoZUxEPq/ZCzivuR3yD0Ctxz1ZbQqT/oggoGQVFWyFRMjqFbL7etMqbb60
NI5FxQQqgiY6veUH+5CUMx0JsPhYexYdUh8fVCLXy3NvddiIOvVsbP6llcIlUPFzQD39Ab+63v9v
OTZv05+avMNH/9eD8vPw+x+n6P9Dh6uQ3JV/e6z/U1P4zZuuOPzzvxywf/6pP4/X4A/fd9iPcbD+
reXwP49Xj/pDjzPA5azEvL9Wvf/9eKUPHMXWtsGHCIJTLr/0Z8xSiD985YAD5lc8/kP+t47XfwyY
SNIKGPmlS35ABhTP//W4k51PgwTj0p4A0Ak+xL2M8g8RMOFT3W1F/cNY5x+thxPqt1fpX8QgYQ/x
N/8e0ILXxs7CZ8mCd4d/i/PXrxwnvrvIpRj2khvxr8hTNh89D6yu8UcR03e3wJdJlcdJolJreZy6
Ziq4tyYLJo2u+fDouJ3Idgz4fCtaZl4pM6xvWHdzNLTp7JW7OCaDvWH2DS5e0U48/bjoHlw/wnNM
4cdxkaO6tuJeHqgFQHSsZgbWAgWDz7C+NzFbHe49PzMbDwjLo0NGnHOL3IZvta3oESwpeI3tPV2m
NhIXwXxv0tmjOwmS+9M0une4isWlIC1I/ZO1LpinjJEsyJ7jMODrRfPUHSk6Lx9mH/pok/E0y7rb
vOGlmEJaZ7fRZIP8TvOUP2xmxiQMKONPV1rel151RNe6QcTUaIT67Feljxtopk9LptwMGofVJTkN
YKyAB15SHH6P0h8nEAgJzcG4dQRGqoeZwpJdROvYKzF0N97m2rNW+o1bb93RCu6N1fUf0eSEPGPq
UMdbCPnhe98YsFqzkZj1dGh/mUhI8J8O77Fd1LjJY1e3EVKZN2MNokWGIgiYPOYY2EFywz0JYQjX
Bsg8RG3X8uXdlJbevZ0u2J6cfPYv3GsU/emdfU67CWtuM3F0x0BUwLOvpJqlZcIlwlCFmwYT+bH2
huk8ZkF/YDFQbVeh5JCl/XJTTWPzhZ5okMxt01mAt1y/fnHojts51MxgR8i5PB0xg4X1JXZWOm3i
5aijxTz0MJKrttx6XRP2m5HhGE6NnTY0ZNnLC2ADTJmbaI0aoQcKkEI47eZ7fp+hw8dU4pdvcenb
x/gKyDX14SWRhsWYDd3G3w54p7Y+uQUAaSNm54DWUQLHYNhh1ZHJJiiicILUceO/+DPbEVplZhnt
5FjhVpv6gFSR7thq18xZVxGEKjbPtd/cDkPSf28rhzdS3tqvbF2TX1Gvmp+8MuljB93rXuU+vJV2
LjCjpd6QvDIeg71LhzQ+OChU3kbaILLxMvJVFicRmG/zsN/OcG++Y6nsruFRy2kbeSMhrHTMsIxD
PJr3BAOcA1rM/OTUi/tYiQDGthFOv2AvbPGIrjyEn8QhZLzJYtM8jJEIv9NyknzVKa/e3gt0jV0S
/AmiJirN2GOsVsMgpvWYhiJR990XE4c0PDpsUN/aNAOz3JBR3gmhAZpLfEY2inArflldKp6Svilf
MMdED3Jy1WtFjR0GcRCBlKAZF49sRGPJxhNj3uyHCg2wlq237+aBZF1MLogccCZzmj7dgc7RNAmA
lkhdEOyRk6K/LIFzv0/g/BxFMrISRQUSXCvYLM9qodsVFol+ZFHWrjcOaqcWUOViNU7wFMkxaxgu
tsa6nxtK0LciD/KXbLZCUGc2++2tpMz0p21rCtEY1MrTQulPt8ErrmaehI66GuBdQaUdVsNmkwXZ
xSqL5OL0iko0HfoEmpZKmIcUP+ULP1L8c40sWVAEDaQ4D0wdYIhk5zWeIW3hlw8Frc/7pemk3DRy
al/djmc6DzN7/sY9Q37nYc5PFF8XxD1S4BimEfMsojBjTKFkPDWw6i2scAt5KgOiuJ/4Ti0sRCuI
EJ9NkIXWVsBoqrZjFPk1dRTLeGd6aV4KW2fs6ZhduOaMIYsqG47Vt7TvRqAfA7PR3hZWhRaOFnub
QWO5WH7QfAnmiU1fF40q2EfstF8N69D3Nl5Y2ZfJqkGmROjZljhkkck3JdDX8UDP8ZWI8MVslOvm
dwiNdnKpbczTe6Ze97oeZZwcO+o2wuvZGjowVFjpmltdlykLizaz3ky0dlah5+luXzlVdADa3FDY
0imsEm4LTgqmCTNrBGiM2sg+04jwKO84MGurzMkXYNLDIjVDIZ79jt8ifDaNk8auqzsIM0EfLNdh
NjbbBpTdLe8k/V1h1761cq1eUIPL65Fl782CskIpaieL01odoWkOGWYKUwUPvThIzR1x2wAgB8SR
LwvFNOhPQMVp/fU9RdGLlE9TzmI09WzJOhM9C2P1oPTHPIzJg5ZuQwsxAan9aIfmLoD7guGU7btL
FuFrVcerAz2o022mOHZiWcT5BpQQID465Cw1dGCWQLoxrVlveOjvBpNETH02IM6Fi9SPGBDOnRcB
Ld0PSG8IfKB+yDc0vrJPUTzbhtGW8hzq59jgDJLW9jO17oWgOnUEJuTSo7YrA/hdDAYTdeyN4N9G
Ue386lJS9czjt7lMqP9HItjzt5rz+SydeMJJXDjFt3KYQjpXO6IDm9iWa0dFplLqnwZBB1A3r7Wx
0rL1dzP4/QWz/3gXTZFzsVWHxx1ZYBvQKv/F54P0E1kuYuePRe0w1cXRYSfWbIOa9f9GYyZ/X9jb
NVu/7ZS/DdmlYMHrpPNAKR2QphqOEYN6XpzbcVTf/CFJPpY8KhO61FsWJgL3Ei8cNGpGRUD5lDwu
k4f1vY6j4HXGr/nG6ZI+oFwmE48tvM0TMSVNA3HdN6R5Nm2Xq3vKIep2iyDuTaioFbZBy9UeW8PB
301u0fEhQFOcOit7a50wuqvH+iu2S5Yzmhhlkoma7qluTg5cDCiJGHpLjTdz4kkEcbpy6R0B07Yt
I1CtFJIQcih5JeiAmfV+aCwKskon+Nk6vXtTJZRiQ3aid5MJhy4SzJTyPHjiWyuj9ks+ud4PIN9h
QaaVt9k+dDpCHIJevQRHkeo/AmnhEW0HBRDIg170iOwVR4dhdOeZdXSMzS6ZhoxPpzsAqcJkQu4g
GMuBOAX9t0i7iBf1zTB63lfTt7yjSvytXIRg++Bg59jTBdDEDcs2jksOePGhc+xCPKeL+DXVYH23
1uBN9zIlPLAD5D/uE4pLyw3mPkH8cSrn67RNrR9RqgdmZEJbKDQkEreQLfvvbkvcYVPQO/Q9pmlI
bt1uzt4m4/IUCOm9NBuB5/epChoM9vFIFx4H1WK+mBxMBI0uHaGsOWIrT6lTxA49z7I5vgVk5j7a
VE8Fh8JIQ//EUrRUM7Anueqlo94J0WLd8bBzhHmx020Tbt0e5iHBleSrAWjM8mHhxqajRGxyDNyb
0Z41hljIolsi5gvrCGH9nEXcfAOSV8GHZM9Ga09GfwA1T0FJTzX5BzK8RAKXhi8Gt/0eziiyjvST
XUk4hZDuvKNqrzrFoT+hr2WB95A1lrU3ZRUcnE4XexVGHkfuGF3AObEqUywi4TaVlPU44ivvRPfD
pF221yNkPWqDVXhRg9aALSdDLDEr1ONCzV69t/swebJmAVJsMLx+fCheJs/wuCrgMVXHoMvmr5EX
dM+d7teI3OID9x9k3Alggc3wwdJs+OklrI83lFIldKS61G5vS6abDzcgILNdkK7JmMw1R2zneGxe
XVpvHQttKXZ4F2KRMlWyE8NsPlILg0WztOWTWXiobKgcaOjlKWc8NVEVY8qJ+n5yqOR2pwBRYZqv
QZOyD25pomMO4KQFoYY443ushDjGqra4K7nN0xFGebd95etC72NBH06Tt9ZjPS94sED0A+fHU4x7
hnC6cQKzrcMMTojfDsbewDAkg1BEI+f9nOLQVokMn+topJ+YzCs3QQ5KCgliukK8XS3agrUAjiiC
CE3LDcnyZl5a5dVfRF+WB6AXOVCWvLFvpoVG330PUrvDNdIVX+chCDsyKEPyK1cxfq1WRdyKKFbm
iigobuo3sXHqF3twi2fT2cG7QwTgZOZ5aq7IU1evFZMxJcKuzt4y/Dr2gTHWvwfrOouNa8HMg0xq
i5swHrkehlSXkeSpgH7vRkN39YZaHwd/TV23D/hJkTLpcsakp1eVUw4WYw4So31xPmXQ4lMSnbVn
P6tK0xppFb+qT+k0/5RR9aekOpYWrXL+KrdKbfw7VByukAkCU3CdloF9HWk8eTyW/fyqz3x9AejJ
NtPLPeJZns+YN05NdkwBMl2ZIEYJtursXaqO5gfkWHHDlOw/kLe4EQEILtPWV6XjLHdTkpP3kOWu
Z/ja13RzVJ1HOU6N8cMRsbMxjrzv+ADcp6B6MJP2DZEbImoULoQ7XY8dFEjV56BbFgaLhdQE6eMB
0ZIiHUxr6REQZ/WAU7e8lLMmGC64Na71Gzriy8xeca4rke5pdcYRPU9cLqZMApzzOxh2xYnEo9hm
3C/jLjeXSmr7xa5Kp+MByzK71N1XCjdwuqaOfBzZJezDJpsPfjXdq8SazM7xB0nAZwqvMIchthki
GXDnrNDehVGb3ghB622t02DZ27qo7rCQh9fLiLWYHoiQeAIP719Bp44t9vMPIlb5JR5Zt/VjFX6r
rTG4VlhTXp1Wxu8BB+hW8QLBgqn5Ld6AFadJI7zQ/I25dVnQ7BQr5wbTyZh0zXOpe/vktBE+eBPO
+OLKBJMHHRmbkT6vk5LJ+IW9YP49GmCZ4gOYrY9xUFX33c0Zg7gApHSgVRH69xESqAH449Eq3a+J
x6t0aIp32IyozyQ4U5TRkAMsmwQdP6KZc3MoRm6TeRaED9C4guwgghYarm9GZhy7wcIw4KKLGDO5
Kezy9cwkk5H62G5Jc+Igdk2+447UXTefj52eb+1bLz3cImALIntHJRRvitF2Fv/kl4wJMHRcQlBO
za5h26gBX59bCfm9xwv/q/FTOqQ9J8znXUD56VU4hlN4IqPNBoHsDZdo4xbyVwCDepei5Nx0pjN3
MJoWLH12wsV0EBkO6dID8QAhOiUh5NWnfnDdR6+3x3IfBzaPxCjAhgimNYZX0HSYO9JSzf4xZUvc
0EJXjZTRjI59HnSD3a2nowzHZ6LnQ21N/U92xUF//P/66P/K8lFI3lc8kthc/fsuiC99D4ouT96q
999xdL/92b8ppYH4w/acIOBvXGFBwOX+Uyml+0G5wmFHqXCjsbP7Uyd1xR8eJDonhHsk3FB6fCN/
x9EFf/ALgQwBaTGarn/q70vYP/VJ9rd/W8r+C72SXeM/6JXCZfkoGDqk8oLQs9fF4W9YlySaG+27
kqLIzC+LI8QVs2xtv7bAnij/rZsjtjizjfjY5Dau1IXPCfYi6Rxcr+sPxgdOEHYuTuCRkSbKBhLe
zZdhqXYV/axbhSizS+BPXfEAGn8k6dBf0VDjsqzrY1qIaHLm8kwbOHVJcxlQ7s6U8hgVwj1UXMTv
HRdloECpPWXVwHchV3pZJgeYZ7k5WVWjf3Fyz2wccuBQYUmXfRGK4M7uqV6I0Wf3M3WOOwa29lA6
LmNwX6b7rs8CmhxEuA2ZO9BVMuuYZG74npUSE5TfAlkBWusd63mwn7Dwpvd5I1ucgI7injeRzvB6
s1wTnOeCTFniwVkUzAe3oIWQ4iT9BoaDbxSxFadj0HpMkMQezTbx+BAL8BUPlIDFO9k29WUMvOaH
XRYtdhn77C08djBMEnahNMMrTstcnJmcbhZ/fkgs1o6+N1xUld9a/OR2kN7I/XCcweTSnLAZMSAa
iYtiS3K1uW0CsL47Si3lc+8zsJLmH3kACi99cOrsRnPUk2cr0UopRWg3AaEQsGczAL+e+lMq7Qan
frNca76dtabKIJvguZLfuiw4ZIl8OZZ8LjzMWYTdutPERHkLU7/A/ARDdDcHlIxtkE/zK1lO6jR2
LZZMJtcvo+sTx25in7jUtND46FribCu6HWuntX52eMu38AS4tPNOQ+HG5vjVFBJ/DVddwJwJFijJ
K4LaU6bvqcR3bPOuPFGhvq4J/aQ62gSJvo+sMO5Vjb8Ir1b2Qzf1NyjCCl/1oo7orPljmXusnmdF
bS3xQ47FxD5XaavOWTHEu1ZQxq472hwgi1BIP1Vghl3rFNomP1JP7jwomh1TTFllDSkr5x1Ndpjb
XjTcBcQyb4uJxpK1+nraClWK8wxse4aGkamXXjmJsyWvlFzVKPtPUxpPVyVn9cURxeDtuSyNb7RK
mesoX9N6S5cdx3zpv5syAgjCtfMUwop75iKJbBWY2uCezvT3gjFTMzUtFHGOxHnauxD8PkE8Q1Ry
h7cBYxX2NzhfxEPQlmClWYDLIFZYfJnKl+YySlm+IOdoQ+aOH0WbTyohd+GwvK5Gt75ZaKFjrhvL
a5U5cAdSG+KI8gUVramT3mWJHzJfesXFkEU8jzK0L+Dh2U86yp+fwqUGzp/3Ha0PrUAKDJ343u5Z
RtP4BYBo1FiOcMGvd0ShQF5jgqXnSBjuXBDks7Wmu7rlCp9fOlgJ+z6aqj1uvAITtTedlDLEo3vL
NLQxUhHHEqc5J/gGt2PTk2DpVOAeAn8muh3KIj07WeQcVD3Ls0i66cZmWDoCKu3PFAsYuP9F+d1v
aF+i+qomI+bMX5rIox7Lh+v7LHTp/GB6r4+RaUMWN62mcqyZdqlHxXOK8njkmstna149YlFcmAe8
RRO7Ed+QuKP1HpO4UjseqXv8bSertfVJ1WMCvTiyT2Hu452D0ncRMiwvKX6Ll5a6+Rc7sOtfxm2w
8i9T7ZyiJbCe1Dw4RHQd/0VErcXipDHZDSZHrhI9YAyfnNcOH5L7AU0erIAwzQvlIzi7mkm/pAnV
BuyCB5a4UHX2KN/ykHmhODqoCge7QwYZFypYWk9nZGrBmT15ihrcBPkY7lRgZlDXlXuOy3Q5zgSn
jvAygr2gymIXiwz/B+ni14qV0aHtnOGxDXV04X+jq6Y36pVdTnksmZsOvVO1d47shjsqi6of3OPH
A6NN+d0BZvI9DMryMsgxPbLvSHfTkju82yWZxlG7chtYFLXonEQSgKLS21IFnZAfK7DAjR6yPWGg
K28R5aVpJ4yrefrTYXOOJs11MdE84znVyqj+3rhLO5G3UI/c2HCxTDPUfRU/o4COv6rONjup3enY
Y/Mi2jZgZdjLmUmUOo8Ey7L2jDlYM9LNttduc0bM75GBbWoCB5IYTF98IimbPPkZJLWS26vnvlK7
cU2PtnUr6hH2ADYMlca3k6X1iUf1nkbcaluycjiFTan3vRZ6K6aCGggNyoTYPjvZ4jp3iQdQ+Elk
P8kGWgCdhMBM3mfFVYKPln+LiAFRTMzCq/Rqr4XD41CrdsvNeQL3bPvmSVMehDHZWfZOa/wDtVHj
I/QRv9wPcR2eJi7q+xLaMgLyFG5M9gicn/dNOXQXu+M8awY3P0XI3T/agJz41PDyVLznn5mF6bec
Gu+WQcPdzXXU7ERXzTfs7TBELMtJjtNyrIxTvBI3e885tCD5vyWT6k6mLLgrV9aJ3hjmGLyTPqkx
hoQa5cdyHzs/h1yU1faTN490zNCAMN0nqppxdQc+HgMfMvtOVpM4UL2EE8axrY8p0vJaOLV+4fPR
nlXQDCd36SFRx0P9XvbleAqcRl33TrO86cRHpkiqS5SLtVN3BgE/ltETP4CS19SBl9Yihb0FzowZ
p2uTOxFP1DAUM+GgbhLHBuP3pXAr+9ylKWGK0R73Y0LYamtb49gcjJN1J0f27F1DaYcfpYXdl8q9
8GBo5oPK79LNk8aBSffss6V3lFVK+ASHyyNpqDjdA38dT9U0DcjUXSWLoxVW9SP3i7S6LWLLwt/D
MmUth3G3yZWNqz7YOW2bmftwmvQ1uZ/iIerd9FfJE2dmbSjNtphaOjyAPn1xyzLbZ1x3t9iqxHOn
xuJAfGHp+X8FooISoQPhHkXWLbX3bmjj8Qyc9GSXqbMflGkeO2PuyW1vqgb+/aS7K11P9W6YoKwx
BeV4gplWSUfGW01Dw7tJp+mD6fi9S332BMX4Jps1v+t7cX1Pkbs8DctAEoCeFCreXXNWLgbStrHH
m8UjuFFHLIzVKm6ZguOpQ3y5dtvg2VlMedMRM9w7g8XspStkVXY/EHeg3/mFXx2Sbkhvsqoiz85O
5YhdxXrqc3KTxhdy6zmVvJXZHL0Hbuse+IzGxyphPUjGpXwG1iJvUzeIL3aZTMduGfsDbQJiKxNQ
dDHy0NmtODq3mbPmLb2+AD07wiOfEZ4PHaT0K03FzQ+RsdsOrCa6lIitwIdqRcKBg7PuMv9uqFme
W0Xk7uOWJXBUuEO6NQHrYwpxJ8b7wm33AAWtmhSfUXCK7OSQEVKiDz03Fm672rtRgR73Qk/QTiYp
niJElT2YW/92sBxM9DMYf5bc4qWnOZn9O4ieXI7mKi2i+qLALwm2F4ujWTNY6atPuPzUmrxBtXZ7
ki1pfO+lFc0qavFeOOgQ2aQOmA6gDuw9UrnX5H+Ck4r6gUcLZAVEaToQOp/cT16VZKYrGy6+ck5L
jkM6bGfvoLLIvqrGRuw8fMccNTNV8dwGVmBRNZ07u3/w7Q6zbWOfc7Vk+6DQXy2Kr1pSBnfjTCph
BJfIpsf/QnfOujjUepfWDC0N0hR7KXu6BnLU73VEDe4G0BVbHBxMW1aSFtGTbpCYlPvCPNq5L59t
b/ExxvcR/wKshzrqov/Cvul4/8jE/Mc5bTWU/janWWRj4PymyWkyQwHQwsfHMoaUD4cBlnI/w71e
GetLGzrTM5Ud4escjM29kxC7pwym/RalJoO9wgUfjdqJj8kwN88TvNCD7Vsgt1SeIluF1qUaNeSa
NkgpYvD4Cdjb0OMqYUVO+soO0bK41FQY9jBvHptReXuPatAgSK2f9GTEO9ea6nsrK7pTqeXL0HZr
bqHx91EbildnGBTgMp/20ZWBoPjet1Xu+3dekeeHwgc/u4M5SYQ+Ueo7N/X46NPLs4Hr8kas5DL0
w5PHDYVNH2XaBNZnouDJ/ADT4gwGcjmnIwYLPw9Aq9tChxg/qFyXB5Lw9NXZsfbfnb4lDW15BEi3
eF2CZCVF1V8XolLOrknZ7JN5kOOZ+M4Mo4nbLm4YRz7UdTfed8VC8dfE4+AWxc355Q92+t5ECEsN
TQt70yfOY73kc0gwHuxJJMFJkt2WN14/WCffyaNdly0sqpxgSBeyU/b0a+ymVwCD7aEa/PTg6ZLa
9qmFPREzO8nGR6bWS3obGT9g0Yoyh+HGXxY8j2O3Z3GS3i95xQmdVM51xPx6SW1WWht3GtNHPujh
1RRO5gomBfXUa3UaZhoEw6TnKlgaMz0nJaYV4LMBkdGgrQbFwtaqz856zx4/r9zF5/UbQ5d1wynM
pZw0W7fnhXQO4EyIu9smSe7d9Sbvfl7qSSCKa/F500cNnXg+cP83VtCfw3UmyNfpgMgYMEm2/cBO
Yxw5XcYCtmFf9lyuA4b+nDUkNzMeRusI4n5OI8TqypdyHVHKz2klWgcXo+lLLKUhoJrMYbt3h9Yi
BrxSNj9HnuBz/BFKV82pb9VE4FfSEKv9cD97Dbs2nfPGDXEqoeML9dZUtrMJadLGjDGyHMX+dAQT
0wECXOetpV2eGu3JXWE1jxbp6BP7HeoUqXR8ZAmHQJtyU16jlNaGtfpyTW13ezMmDGmejnq8wdnQ
bJOAaxiVE1hbEzT9r9CQcc8ELsE0EAgvLT8DwBTryJivw2P+OUfm8EVuk7xHKWDIpOYQOsrn5Ck/
p9BwHUgb6KfHdh1Sh3VcHYSMzy0TbLOOsuk61JbreMs3uQ66jLx6HX6LdQyW60AcrKOxb8XBt8oj
bNtl+Q+5DtDDOkov61BNcJjl0uekvaxDd7KO3+E6iM+fMznxFxe8KIP6uI7s/Tq8T+sYT8cHE71e
h3uKm6yfyzrwZzyky6jnV0cWQZvhUxnIV5FgWOUCfxUOHChPu9+0un+hfHmrEe93o57wHGyKAk88
zQ649v7BItjBp2ZIaK3jTOD0usrTq95hk+DjU9kDc6YELnT9i+31FtuyMCUSmA7+EXeK+NYRaKm2
bObi93kczHVZePONFYjuEqDmvXIxqF/coDmz0+n2gx0ukH9d86jLHuZJaTU5P9MMQtys5vxk9wyd
rMYyoXYSY/h1F1B8tu9nviv6baifCaKletPLAAyzxKfOvmt9kGH85ZmWfT7fSGvyrPM+n3s0f6pt
uD4M/+cvmFgBz395wT6VQi7T9Eo4Cov2X0+gUFM8SctecGQR/LS8uq/tm/XaPpq77gGTd3VvFf8F
PvufigM48wTsQSXgTvOo/PRa/nbmGQSWknhPdGSDEkFa7dKevHU23+VTCuOSm3Rzo+e2B5Qb58kP
4S/9HqxO/rEIfyIST77qQBXozM9ScaPeL5HLGQ7FVNlHUgPW165v5DPZEY46wn1EUXNPBTnNz7M+
TW3dnt1yrSqqlumKmwzPp5WOIlXwOExLcGQXEiM2lDjgPdEe5s60NytO8rs0WXTVmai4Gls/OMLD
sL6UqdHngUIwvM8jIb+CINXNyIX4KSEZ+AbgKct34ADNLptS/eLF7vr8Kp3i6/9ZSf8vyaH/O6JC
f1fc+QT/e7X+muLmf6vV8yf/1OrVH6HPmjRUGJFXeR3h/W+hocD9g/c/Tl3XJan6m1bv+H84gSLv
StoloHlmlff/rtWLP0I+KyGONAIxvpT/reoYJf4pNESs0WWTYPPXeau5+a+fQLu0M1rq5uVYCg/Z
ukAQr3g2gZGAvuoPRML9SH7lY4p1qNMy5dPQ5bgb4lnDye5Y4FdsatvxydgGd5Dye//QF1Z5G0xD
f6BVsn/Ekg9ZWNRmyzoARnUzF+kpgQp8wzdU7thbmZMJsRHeziiT01nWtr5pIDek9/5AZztDq5uk
zLuZSm60Uvhps6QuHmHjrM6ocp5naAmL6+ynliz8sVaMTESKsRFAr0D7gPiYBSc7BId7IjiRPY6D
356gCiq8kFP16lO5wgIwEsM7/zg+sUGHJVfG7vBMXoZ4AUwq3JsGBOLR+I3CCIRdhEAyDCV4xHKM
wb+1qj7QSuLVRPej9C7txWrHStDpd7FqFgB/OYEPFNMJGYAi2UidsjXFdfJA2VV72nJTnrHSYBaF
BGp9r6kHxK4CN/hcRzUWI9SFc+fY7KM1bbqUbYH+W3ZBMfcIOK7SEsat7sgMEhihWqsevhVObjCo
Dn39y1ks+pfxZFlbrs4N4dx0BmAEeg/kdNjhFoPLgYjcTPlJWI65WItFEMnFQrIuagkmZUlc7OfW
WK9d683WLmpB+h69tpMXy/FRXBy6QbEbd+h5mJQoRa7dYuS+0du93rKCgPBPbkZ8yMYO11WCKL4t
qndxIVktjoKIoYq9pE6REBoWA7Sk5AuA18gKbwQI1INoqnHn6K69NLPVXJIRBcvt6/YxyQL7rp1S
Eu8ZTHCzK3w/2JNSb97srp/u7DFzh+3cQnrgMU34SPfOnhIjCL4TBYtdylSzWXD0H3vqwQ+1L+ZD
EueAu2eo4VjawxMiUPcyNXX6FSQ92yN3CbjZ2ljpuWYsT6KepksVE5jx+on0kQjNfYajd1/k8IeB
k+S3AzzVw8DfxToMzEwkoKZ0XR8giGFZjTu+JbPQGznDcbm1EMQ2daSjayH6+uSUSXioXFkdfTsp
X7TwMFYH7hfpsgQiEUjMKwTNOt5wk+Cdz8Zq3mhj8sdwBPKSrjEqM9jBLg3S7qaNtL2LkPa+NJS9
Mn0O07XbE+lJcOFuWyJbMyZLHW5FyXZ7kztRfCGbsDy4zojFpkL94r3uHuG6q+Y/2DuT3ciRNFs/
ERNGI81Ibn12l8s1S6HYEBoiOM+DkXz6/jwq0dVVwL3o3jRwgbvLRUohuUizfzjnO5uY4u23j+Th
Afmo3KSDsp+WyCyvFq3aIfeuiBuTNh7hzVNdvuZ0FG8uDMnXrOpxxMVt+uqBCyOMZDi4kAvuUkFX
ue6yXt/PsmjeG7iYD2Xh2h8mQAW7bqQXPMmESVQZ54gP04IWZxVwpiDFwxSwhQ/HaJjt44dZUmCi
tdW5L1KSB4wEO9u0Ziw+J7LY7nwmuz9TSvptXKgw2hCixTzS98LDXIOQowbOv70uZF5VNUKCF0KH
dZd66FlWgUjr3xLj3+v1QXh2Fm/5HXvG1BvfiPxlYbbwMBfTvVdBYl9NcV+0azYZht8TEhUMDd9+
dxzaiT2auFJtkHGHFzKbhhMitewxZG3zq4izid3kOM1vWVDm/arjaD44OkOfh1HP+Z21FfqyDuI/
AuNMEioQlDZ50HSBePlVRG0YlR+6dXn7aWahJPl1fi9gYUjWAyWqNdufzvTtvb2OlivbtO4hDiBb
hlACR1L6tGVsxMZVS0G0ow8Q7FaIdjoxzcW1j3JK25vSHhZ4SL4ibnqOh2u1mqMyyXhJao2KD2mu
7B4jmRNZUU0osWD0dU8pM+Ot1oBzaOb0jaPz8DHKXfedmVl2IkUi/GmZ7knUxXROo4H881rM6QPQ
e1LRq2tA+tjRXiMYjoYjVSsxJbZFWqxtz85ZZ35/mxN/nKCQQs2TKQLYg39ksS/XXHaiSpcHo7vI
HGTS90+hSPLneIzUT5kS6z6OkYd0KBaQalJzSigkz2jhi1OSDUWEjhFGC9r04K4oZ2hM1aRONFFW
y0t2zZTHEZtYaLh6TZ43mka1NjpobnkV5Iu+xtJHDQH1EtHTaQ7C4mOC3fhhMWbbN8E1H944xNvb
fe+hjE3k82gnPg5bUsX8JvZxrrf1VxRG5gP1D8V65KjeX2cW26zVMpr2oKG5IjTrcyTAdvk77Ko2
Y1JNhNdgYccf6eJmpEKEaLLiqs6pyZxd1Vw/0dlBLuoZVe16kHTHmKr/wfJcS69b4RNfm0wZ961f
B2z/Yo6XVWOrwoYyMhr2uTkDghhQzWPcz8NvZ4QSeGdnYGV47twMMV7hsV9LELuWA7SrtphTbva2
ax/KyiPMvaNPX8Ho8tx1xpAU3MbQcHmNOrt03RTtvLioTjGaOMg6TIO/vQIv5grOiwEN4DjJTaBm
E+ykHMWL9vLklTsbDyJmiZ5dSlCN9JiWuslJJN3j8Q5egrilyPfaoUR4DHRincnhip0htvGYjF35
jAwUtHLTd+kNbgLh3sTkyr1BMdDTZlLtMUH7D7qmK6vTeK3Tof7Ix0n48uQGcbYLO4GA3wcGsoA2
vl/Kjg8k4NBdWV7fvxGrS8KTPy5vBJ1qslya8tgtfg5Pyi8fEWy5Z6916CJm3em3XrbxsOqNQzmk
IleFLL5qpsFxnFzysMneKjRttxRsjbsPmbgg9u2C/BygH3wPlmRim6x/CDev94QITxsCr3icI3fZ
BG3tPoOey47xn+jJAHEEC1mv817YfxFOWV9zKtlQ5O9lJMwrDiUP7q0k0TK4ZlvG/SLECljJdJDg
tE4wR4fjfM3DZJij92Fo7RKMEySap+SJsg8ff87yGqaZZMBuc1J6333CNAjbHMjdbK8JnM4/wjht
Mf4KFQmdeMHWLYXRVlzTO22n+yiT2j8Yw+M/XDM+7d5/dq+pnwbQke2N9VuLXWo/ui3hoN7oc2Kl
oxJ7rEwohas8yp8SHpO3ZiJdNGHne0iMhWTKduzkUf4JIh0sDHHrCm5OhCZauj+Crp8/a5hsCVSe
hL2UyQNO9bQIu+GwdHUYr7FbtWuQgEx7+TND5gLCBkIdadp70mjDhxigNptJ7/H2YSrt9RIP2T3w
Yt7UAJ/Lppot615XyXMuIu8+StzwORGpB7/UqZzjgAx3Y6cV2+aagGA0ZIV47mn6D2k+c/ViL9iR
wuKu82R0no17DPnIdwtCQLgU6rYrBEMRYdytKZBmTgECUq+MiyPwq3KNHDG67/y+xqltX7wisS+a
UnnVtMI8hE2VnLMlt3eIEax43dvcsdDeJHxcrzHeZgwruRuKIL3YrF/OEdTibGt1sSoORRb1t+1C
sbhqaWdeFYAz0MBk6TkbOZeWvgE01r8OUav9jTO50SsEEugj8A8fa4/N1cZBjOeApi5zXLwWYKWV
grPwwgY4uKBzje8jr4ewqqJ5djjEpuXE8qH50WlbvwAvnM8697C2uOWoXztdqQcOO7Y2mKzid15g
scOaUFJCWyg1eWdKtDlTdFtnquVE7Su5YdbinyS/+O9AjwXSFwIRmW5Tbx5Lc4XI5stVr4tqphMH
4tyRMXVOFwNtr52SU3O2rc3QsXlfRTlbsfXC+gbvQxTBhh06L9miHVBy3S6u9UGoQvdUItjDEETN
vqmx29wtXj68V56e4R+Pc3lLIgMLc1/3a8C5lDizO4o7H1PLe8cUo9/GQKaKu66MBaryBmzaRsUu
sKnACjEm2OOEAl4gMnQOU82ekzciKA7hKIO30BtodEYvRK2TeTyqWNKbrgL95eIbq8sZ4qRe7Leu
Y9q977XwYT0z8WXlFCUvJMMU80NRtfOwY2Pq/u5aNmqwWAoEhaHoryJOD0jehp1hF9/1jkvLkecV
7lVychcuvTww3FXzI+8MWl+n6CaSykA2tpz+GEfHQwus82Yi/+2NY0k9avIGCYIKg5tynPunac46
Zvj58maWyLPIu0jwsi5VyowHLCBqi0aDmvnfnX4grPt/0vDt2ogP/2/jkdsP5iMfHafev1i+//66
v4cj4q8Ac5oQmhmJ4K+PlvBvooqEqALiU9gKZaJN3fmfUkYp/4LkJpikEHUW4Gvmi/4ejwBb0Tbx
q4wEJOQMtDn/EykjYoZ/H+mik3Rd+nDH8dFZMov51/mIHGYIzdKatnNfy/EAVxx5yAj4bLXEBLZm
PYiqvvACZzMF43LlxV919PYfSb3lWQmIx9THZgZe7kcxww2+jEil+T/KjryhRttXD4Vz9CZyIFbt
H3E/UA+E/pzeef2g2iR5s6D+RU8Eo5jqoZHgoDbQt3pscW5pqM5LHcqNmxv2jWlcBz7rbg1zU4/Y
Sq7jPkQZ//DIzHhTgTSrMrov+8j+zWXiblPG6LgSsyE4NlcLhMxiS14Geu9iY8fGVbgC7Sa7M21t
zuKPr0JdLRZ22ZpT3+PW37SKmcMl/OPKIHdCMPDP5A+44rO9h7SOpaPxJKYzE+qZQiRO6Csmhq5n
oIx2ty7/+EQkdj9W62PnppBdUiwivlXoHSIIbCazJGlkbcY0Se86R+AUxj77opvOOQOjn6Pd0vlj
fiAKy2SndqoHMKQRhz2DVZcja+Zch3J2Nc7I3s7QQgv3urPEYYNqE6311XXj5cRT2q0fP0xXv06H
cUe1/bXFmrJq2GRBAec7MNc9+aB9CMt58sZ3wxI/Ru19qCy/Oqq8Zvux/LEUYc5wH5FgLdEtBzpH
rkaBF6woQjAjlSTeTTtDohlQWi3Ucuv2XmudIg932loQDmUdWCalb4C7zLAf6igcb3FRgrhQfyxU
vpHqHkmGDZHaD7vy7IseP/QYEArICKi2D9ioMWd1eOGDo3CzuL7BZYWryteE2W7J4Cip2Py+39gO
WVDbaJH8d//HEdYxbwt3c5aN+VEAp55pkQN0r7FXa4ncvJ6euzi28kN6dZ6REtS8FHGF+4/u5Lvq
Qns68dRxrIs/brax7XsA23aFhgBo5DHKOwozCDYMHIXljwVG2FCf0lQ4n3VgD9MBUqFfIDuJOvaT
jNLnNePG6uQYBL+YaNrs3MMwfGgT7ypb1S9dN0zlukegBmDMjk++MZABOruo3/wytR/p2bqfBDdp
uoSMlo3adAUq2ZdPYTviIYNK38vnpCWdGcUThLn1IOr5KSmd5buIi+WW8rFFszJUsX3XQnjDNlll
EhwRmVzjYRFRcRukATqFya2w/Yp0LN57a2nugtQTzaZlQFFvQhFkcJ7hSD03c1y7hNAU0A19wPw9
HWWpzuSixmpTR0CMyZawIvtmcDgTVl1UuOQE2wOe3riaoYGnRYKmtyKe2ZtdnnYbbg/avFmiwQP5
C31UhK/Wkof7xYM4X0xV+Z3XFnz8FjlNFLrTWzCiYGm61Pf2dtMW7zMy2ngFIbG/Q8XAzM4tqptS
5ONzR3RajM8fQUlClAwtsevcY5rGwuIGTnoYxqoga9Fm15bCHCwOjWjcF7vIuptuNhHZNzIOtgSQ
5OEDFQrEJc/BrLYPmCfuMBzGnxNMPTKOYYeOiMXsgccjb54TLZzjtHhusnLzsoJoqRkFuKGn82+0
FO2JNTYhctjtllfwDuVXM1ZjsBtzZ0KNwI2DpxLbFC4eM27dMTKXuKmsY+jKq0A8qnLzVBvixtYx
riLIcIgQOszgRYMzCRDpadR1PuynGb39qltIz95kjqtxioc8q2sliDgZgWrfYaOoABXiTrSj0Ctf
/LSzxMZMvCgAa/HfhFal1MbjGvS/ChR8rKoXZ69aw+MZvy2JJT77Ibe3PgpqDJpZuwuGmJjDDuMm
RziZQxV2c7EmuKA5aLejD2fwE3DsU16fGnIFy+dqGhx3zWxw2SJKDB+L2cK0P2dX17s03rgtlY3m
BGl1+iCGENntICR+jys5ybpxF5l+aAr58RAlYshuXSdc1n7EkbMGRF9sa5kIvVqGdrhHFhE9460q
880YTTajKSdBemGrhicxUFD7UakH5iWY2WtzXtkJAlk++QS/vKsfUH5Zcg1RAb1vwmCq3hD6yg8i
VVw/Jo1k2szZgL0ZJ49G+o+BSR4TvBUM3rCUb0tOM8aTXjLdZH0iDjzMi4W/HxTKNFV1sh6pDxC8
EUoR7vpGBYeSxIZvPQXNWwmv/MEae+B9U5MsXxl5gKQtkdyKvzYd/GrDP9EX63FIl6NdulnG7DeH
e5AkDJDXxE0hLvD964eAbByVQlak9122zBQIreN8gLq/uqvLsn6e8T/eVqI2qJOyKWM2nFHugojF
hTp6UXGZaPUYOMbjq5lxYmVzFDg7YQFwSQvhA1Xw4V3cZsEyP4+L8NuNSTEtrqKsbQg1xbXwyzPu
fCAn3L6E4Gwp5C0CuIEGZqZZlSZaKhC0BAzayRSHd5DLp/ngwg0O7mdf04paxotv8TQH71rN6iGF
uts4KcMCry8eaeeSGztd+hghP4pjh0NuA2fNOiDPEFdD8Gda5+M6qTkzpegy56dqMZdj4lz8N7bS
pGXUdJCxO1UfsAvseA2RJTuKickRZ8zV0BWlTzNczHVuBpwLJLSmqMsB7FpN6Z3sxhNyPzo4SYsI
nQH7H6yJdnRFPIZzjF8WuAVibwTvXoOCcvJC3BPNEraocrDIuWyhsp+x3UdnPeKT0BXBilMhBjZQ
hEat4to4sPf5ofdpVBl/BYSn3/dxZG4sWjx3LQj42JIBP3vojRPvMpJi+oWjM/p2jY7f425+tmwu
VrJkIwadMNbYAKFChaWgxULp4dXATjmLrhTLRY5HFlb6s7HiWuztMpfWaUzTo+3ix5Jt6D+gjMUn
QnP6DPCq/km8ZQdmOG3G31h2SkNtkMniTvcxuIY4NRY+ZLlkaMd9SOLiKqvB/ZdNn5GMgm/jlsn4
WoF5SPa6sqvvRjmifaBpJ3teIgwITm6BffScBADaVlEUDPPKHcP624nAnlPeyHg8hhi8NbdzxoA1
t6siOJWlMz41wkeflGQWvtygYzZBgmixPDpt8zh2dVadVEujSnK0mR9mEhZJQljiW2zhySFBIy/W
8dTCEI25svq8L7BZujHCadyBvCYU4v19srTxsfAjwLOplaD6Nc4dm9QYo0ZvUDKgRWXJVOfbQOQR
dzk1yHfrOtOLKnEVIAqVG6/C0snB679aVhnOuIGF3x99tHnlB9EGQb3noA2eGZe63wNj0Zp4s7a8
G9iGvQ4TzvyUwYB9ctB5s3eD6L3OmwhRjXDtVyC71qXrFUkr+Rjh8WXbUexVod18KyQ6gWmua9wM
We1+cUHmG64sjEhQdJy3Puw+ZNswMJrGnJ4Uvlz9G/dx82YnCjqhHcSMfFQ4UHBYyVy+NtEQPZsq
wznpaxxAgnrxyTT5RPwvw1j5g61jsw6aJTdfvUuymWuxhbTDZEs0xfwBvFgTQhE/pZlEOCcdTv5+
Uk5waoBc6YNY7HE5Z0AT5l2Rl0N6SbAkMPYwFgFZlgtN5iDrTi87/uuqRecuAfBnl360S5qhRlna
ONPNgFXwuWs6QCeJjOQT2gM7YSnIVR7PaDfbuYseefaXwzJiSieMmGt+Uy7DcM9eyl1j+KpvRN45
O2lRFSS5+wuJDe7X+uokjls/JVUmBafwVjR1jL1eMnNbkbxLRbjgR7utnWa4d82EFjmtVxN7kG2j
4+kkUKRuHfZa67Ej8mQwBJMOHbyIdZx7gHadGLFgMwX9o7HCZR9JRIk1ny30/Ws+Dmu3rCKaKrBY
sBZgfrdCxw65OaNlvcc9HugTIQzIYwen8F6MM2qxIc/CZnTSjvhQct9DisNFe4nca3NWeR1YWqRC
01MyT2G+q5Ig5U+olnfm7+an5KfQm9TEgjhGPu964zKS3btOO/1sWNYQ5WJn7l0Sg+ShwOWETZeR
Yn1o4xNalOlXETbzThPgdCTTe0kOI4LcW5oGPzw1aS0/0wqNPFRGQropMhZvHS8BOJ5r7MPPSV7B
XmRcuZK/YrjFQYZPNOAv1mPwcbJ0y8tsk5WwZBjvrEWfuywHZBPbgtsdSnt0CPFq1ZsxzndGsCdc
ASQo7qSgGEKvKRL71AVxCF4QuwPy9cRK6apobxA/KywegZvJn6rnAlsv/UD/irvXvRJlctZSoQ70
/IIUFo4uu4wg3RHGHX+PTavIZhzs92IqCX6NVXvIao75ReJiW6k/vOKsr7aMmbNNoUgsXMmCNn0N
vpLgyULq7qdrEdIXeaPaa7uNX3FJw3iM5vo6yE9z/bC0+ANOTSWxunXQODGAR6X+k2UHCNFEKQWl
jKhrELJNd37tBwyE+yT4ThBgPDnEhcYBMviVSjVb/RKxelEv3g6/uthDy/dPIIYNbnu2APWU1Pfe
2IhN3WrdIh9TOat39maPbWhw7bcDuWpJmXRf5IDpfgc1tcfg05dA+e24/677ZbxDYViB6ZCCxAFV
wfFeyWkWH3gMxQZ7mf0bP/3yCCOOkBeS2M/ArTRYiYjJaBya22okbMYLFAYMKObzusGywMT+qxso
eDIdQR+VJXCymC5JNmLfpTkV76idt2WJSYmlipBXB8qgk+98TIpjFzoFuSo+n3dKhQz67ULOXn0q
FPzNfKzqe59reJcgCf9JTUG2IIeffnKzDyGV2oJrUxT6JXpsYqC3jC3VMcNM9UTqmti3PmAJDs4N
klpnbyMO/x4gTx1C0bpHp84OS+mzN9VDlm5qFtG7lBn4U8u68AbMg/gMWre8YTFqPjBCY8wOM7gM
QT+L6ZAD7Y62HJLmaxk0AsQysxsgSso/kWxL0dVIfvf1yGb3Q2Xan7dE16nzPDjtgZQTe5tphxxK
9K2HGqAMj0md3RvfmS+sR1W7UsjdzwYGHu42nG2/5rTLcGlSQeLKLPznGQ3QeZYISXVXuvTEOc53
fLMbSSX/K7emdt/25KdzmRDy0Q0280413HaaQ7TXaZWua0epcF9UQXSAEbZvch9edB9PrFJqhh+Z
rvsXyt2GAQVhOuvpT88BiGTTIHv47YM1BZNRLY+I3pZ3kib1Y4mHdcKyQpJvI13yF0pBPClmCtC8
abxXVX40Mqr3cW7ruyFzbX6hyYf1r6qSYscq3J0z4LZncq/OY05/Onhu88MQqeTZMwQZoTz1mAdY
dJkdTw+5gEQxoX1g01lmP5rcET9CUdQb4ofaC958e+uWsyQWCDZG3hkm1YTZUtGo+7ghCFDh5DjV
KHAbdksHZ/IuQH3N2m0892ZW0qaQChaWojgbSkCA9MhjAlgqsrYjlzEZ11hOALEVZw6qdMsr47+V
VgNnIGqZ57MfgshrR89A34Jxn4hxetZ66nYGeT/PRzCoOz/yfKhJqZ5vTc6OmRMXXQFGgd3cR82J
uKNa3kx2WuMPUBWsmrh7t9C1PCvdYISbmqV7WcaAai/KHBZXqdh7RSb4qy7sHDR//7aM+q3XYQE+
NZOhDDGx2YxKKeqcJfM+pzL/wEubrKfKZl5AFPivcfbCPedD9dgsxlAOhdYFd4cP8de89SkX62AX
4JQxn1V7NakRYsD0iPTKu9QqZPXb0w4QuYRS4SpsUskNmL/yiJzb/yV6594KKbuRLC8UZOF8r138
iBMLizUAXYvkKYICoQrt4yntj3pamE3N1aJftSzUO2GDa+yB3CQRjhmv6dlc0m8Az6CwhSul5s8l
yZ0XFvHit2kHi34gQM2/JPtUI9q81Bbm6Nt4xDfH92Ibs+RfDSEo3dZyuulA6T2zfk2L+6xT8gBI
qtm2ooBULrJrDNsM19NHlI/is4uppBYVScphXJNIodB5gcQyw4NwCuA1qrS59P7/WuG/BWlHeclY
X10p6f9n5eXzr/wD9HL5L4uF//KVfy8X7L/+bAECV/P9pHD+uVzw/pJwxMEnBISIKS3/yUmwg79Y
lSO95PS96iJ9Jv7/XC6wiQtQZfqsHthW6v/JcoHv+G/qZ62UA7fNR4wc+MDj/00unmTosZzUkHkk
+kdNj3kogBlBKVPDLrAK8yv1UU5aoOVhwxTz2pvybjfG2jkQUufsgirFxzTqqwE0t4166GhYd/YS
lkeCmXFq5tl0wa6hb/GMeUcrDFB2+KH6bmVY7cDypLjYEP18dgBMiNOmsUFbeBUKsJiJX/u67G6b
qq3azSBRTGMyZd3noVIm6sPA8JwiYh8OTMLovyIDN2twUTsxWP4C89ZuZ5IdfHJFf/A+j2uKCEjU
fBzJwpLWcw/se5MdQXk1w8nWhTPQVelLWeCrXpdsy5eVzCfyHyzWAOW6JL3qDr8CpkxK6xqGphVg
JiNEudxPSFtfSsgC7wFtKfeER4RhHaThs+gTsjFhj2YApugFLtco2mo1WICnV33sJHd9no+v7RV/
viXWDP6SWHB9mfliz/ZIpk9nvipRFD+Rt6CR7PKuu8Mdgt8Rg+4I5NNWr6Ewzrl3HOs5zjzxw6rI
X1px5Y9HAOUGbOfVGEsA/Lc/I2BdR3q6/uC5s6szfvYhLqnOfEoFqAhnwRgaCQ72209qYvqdWLgt
iikh+SH9gN7Liat9JlL7ThYB9FZ2tDNM2mviDK1lj9dEY2Em97ZczTae5BhLNtqUE02HwJTIaA1c
VPw4TAmxvmk02tebpTwXJECGzOIW8xGRIX8ys2dueaCGNMTHBvRVFyPwgBxPedwGm3HqwFECyWQ1
3uqDZxXJa81dt1kmq7nBZZITbOkV68KfmjsMWdG+KqoZ4SlNfBxkYptT6h30UJC65WK2lVYHSYPc
lp/E+y4n4inDe+7G9HZOeVDbyniffVZOOwCG3TGrJId56T83jVnjLK3WAELie+4BdLqoWV5qpwp3
0eC7HwkMsRusS+4a/FW10xjs0Ml2b0LU7wX4uZXtTQgymvG1C0b6VCJDqbAoepOnYjKHdkrva2Qa
Q6xOut5F3oKgt2QxTcQultwBT68qEdOuhZTQO/B4Js+8B94tbZl+xGWvycTqp/SUw5P90XkClUqf
VtmmcmwHCmoBDG9VT04RrQgomZ8oo5tDxjN1YQgIUWHqexDF5InhqXQYDBSVdl/L1HcvqvCdg902
ubeaC5JEQs8kv8n8rXctTLge/3TYfYoc4zsvpR8A47Kh/TAr5c+vWWSseE7m+9hlheI2md5czY82
IVVYS+upieSGoiR5nAgoRDk6xwWmWz2+10laX5KEkORZlOqSRQ6LPBrehe8E7SwfB/sxkPhr/KWh
moXfNT77AXu6ofDMQZtp/gzypHiee1m1B6lT95PnO/mNNc5xVr6yMQRTxcUfdpi7pCIB0UNbjmvv
LqUt2s6iYEjL4sNpdlmVNnsTNey60G7G+5qUhLsYLczzWMgIgJiST/D4nHNrNdhI+VD0PZwYu9hI
jWscHEPk7gcxRHeLSe2HsY30PjVJfyZ/rfhKeYT5q4aOfO2qrj/nWecQm700Bx+/MkPR3L+UZUG6
WN4yxWaZEYobHbJzCxoT3Sh7TM+of5ll+QoxMZZxbM0WDjNSsHRubXl/vQspLsWD30bi0ZUT8lK8
VE58qhfjvUR5IZz1UM/tl0E7tkakTz4s64eGHE/K9ME/pVd4JLr2ivxWIjZJ9baqbA+LDspFlvjx
yQEZgKq+vIi0pYC0LYWYxAEfGAe9fZhIw4SQhj1P8eJuO6zUe6ofBJNmKZ86loCrnkQZKNnBHUvX
6JbVof+VOUFyayD272xZLaem7cebSBeS1lOJz2xB5jyOCjFIGRIEWyjvpiPUCstbpM9h0OBFwaa2
5iwqb1BOgrClUTFbctY/KQirbW5bKLrdUr/hdNxpf3hLNYI1Xn3IfRDy4kZiNE+z8dutkl9pV3tb
3ZHQRJfBzL+yEOI4zSmx3GavBuUemVrfIXTzNjgYrAeAuN4BvF95jKzwdPVtQijUkwDyYc0/5hrL
+yoEsPkgQ/waENEtEAiu3LDleAbBMO0Kgst2VVz/yAVK07zuARu3yWdqjSY/SRxOiFSDIdswOjbB
SgzLtOvBPj/ao5veTqNV7/ys7i+tlNij1c9hqg9uSWxpySyKHXM3rIt5si9+Jc+22y9MisiwYozc
Ul+DTKuYMnpDChMcOt+qqxdG4JO6guVicZ2GV26xZ3p/grsJ0CdUrCs2SyxgE9h+PxerpDIk17f5
RzHnxUnnenh38KUTmRDPyW069yNWc7tBV+0Qb9X0COiWxvh4+VzkRt44DTcFqvhiJ0mW33QzQvNl
sJxfRFKMyZYrnmwPt+5jihkryte1GRICouuOeyCRXUWYnYT6izI51V9lhRYS+5S5S7IYoXDJrMUD
bLQK6NkQBcrbqvLv+LUY+kRqTp+dTjTs+QJmv2s7NNNrGMbfAY/7+6JAz5v+VsVghrKuSQFfh80j
TvCEyERVOOt2QkVUOlWzwupCdsmYLO9W1KAhQIl/wuKA5ghtEHwhQ2viBK1Bq5upzw7Dxs+If3gV
Mbkm0Q/AVFFYHl6Pun2pvBEgp863eecB+W6L4b5Ow+j1ajvYF4zzfmM+y3+Y0a13qPIVbNQcdDiM
tag9mDJAVjEyu2SCW4L4VK5b3nMHmP2QZ+PFV+CMSYFyX5PFy05TZ02nRvo4oZtGHOtCQXSvPXVe
xrLCoSqTazwcn5UK+uVLNkocUFl1G0ctoJaLZsSfaas9Htk9DIoXFKAoodCxeIoxW+2QzNldl5NI
FHxspcPKL/DNm/YXgSHUcxWPYjbprRToKTiIN0zgi42rrY2W84MFqOBUVcgNs3pWhwTMyYfiPAML
SUmhuoIoEr8Uu7on40Uusl+lre8/kHBjn6OQGUVRd+FtaRgRMOKhhQc9gp6wZW3oyEs0DjdSzr9t
myZsNXJNTUxFNCnFOUZlYE1Imym1LuzV3V0ZXUW4UO/3FnGlokNIjcDYHp/7sO1fZnfI11MyjTtj
4wm5skM9KFsbYHrpJhynctWZyCF1BS0hFt5gh4R5iteOM73zReOZUezyiRqDWIBUEOEVR+VZ1DTj
fN5M5l09EOde14m3Y2bobhXogkOZuPGJoF7voR65y8MBxGfMkuNOKi+/zAS9Pwjb9pFlltkZN28m
2Upl6p43FIszKZXtmT6keCgjqX4tYsKP2YcE2k7SvqhB6hP0RfWLeWpwqwdmy4mJkye2MA1YHg0t
E+J78k4gYn/LsZkfGxaDGwywXzhhg4NXspeIWL9deiRb767bs+3CioQ2iYueushJgX3NDankmHKS
Y1VERNLHqp45PQgGjhaswGhmhkPQevpoKW9+ZC/eLfiQhlOVeOGmhBNyAm02vxoYS3dTEf+otBfe
i7DOoKT7zcHx6gRuq7NnUptt5yhtdl6i7S1THxaCsV1dWi/lpqvDaFtTN7H85XAeAg3JrMjUm6CV
4WP2i7tm4MCjfqx+xGWifmKZyE5IAniA2849+3Zfe5hcB+T/HQFmDzgSLMSNetiCYJm+Qvwja51w
74UMCjc0/VdiBvf45HnRTeU1L7ofozffCqkyC0b8AwUReI7jQvhaEVyz2Iv8Y0J+cM+NCmjFoeTd
CDUQhSOsjRDIP2izoDPV5itJzPCcwds5pa2ZeazH8eighcPVPeRb2THcm4osPJjYXwfi6qRo8vTo
5d+QXYLvyK+dYwp006eEFaxj8vZrtuL5Jh/RPK3cJM920gDbC4k53/oVXV+5GD4+17h3lvLnPdGO
7b0ZEL3Guqo/BQ8Mgi97/A/mzmy3cWXLtr9SP8ACg2QEyceSqF6y5DblfCGcTpt93/Pra9DnHOBW
AReFerm4zzt3ZjotR6xYc84xD7HRUoZFsAeNoWGcqFywOPbUXjKSCesxiKZn348a5oU4/SDlNPOl
sJPJ8jn85DFmHHpZC4+yVwsjUlu9omUPT0k/4xgHESXeYfRrvzHLddsq0ss96GA3oUoohas8jxmP
ntYRt9rJ2rXfE8xykgIl3nWTrVNOIFdc/FIzL7k+WpcN3y9pu8l9yseBT9agdoWWs531u4uJR1lV
XCmFBG/ZqWLdR863y8Dft+55zOlnYGvMxjTH/04Km/FUPyaq1jeZnX1Vw7jHvvDigAVcK9FHN2xA
lIal+UR7nx1sJ6uuDgAF2gOVue17pRf9x9wL8uoUhr1BwnDPBQyiT42ZKUW6yLt1X0t3x7fH2gA9
si/mnJZnhVb3bjt+x2wk5aHQGWk7U9O4BadR24gUw8Xeha9cE57UxnNF/TOZiyhzdwaaFbkLEG+M
+oWz9evYgXg2KYueI7whE8XUv12lKZg5tAa+lYxISyGU+wBhkDUxHIfdFPrRXhnm+KFwgXN3JDkN
LN3i8LXy+THQtP6YyHl81BrYo6ypEzQ3oqkbPITzYWZT8eRmbv0RTD4Kcz2U95L7jSO+wc04WdlG
JUN9cVpDx/5HJnrTtXgdDbzkj61ssbUAm6i/9DnoXzR6re1V01vNRcG42QzdZNKnhZfpHT1wwWcZ
3xFtHEcrDH3EoCkyb6AOdPA7ZoRUk2Dv1Zsu9EqNzfdoz8ax9g0DVNaU3TvQHZ8JFupbzo87mOG0
eFhMXw9pDfCdvCJQqiLEyE2TsdHcErstrwzXSIiwXKZ9HeNcXFVcok9BUSEXUp2bHkqVObtEzPVz
XDLDYg4il5RRXue5vGLOBhyGdZXmzavSYbsUCwp3apLgzYqdaEeuz8Q/OPfxYcjx08kG7CMM8/JI
8fBwhyLdv7hMoY8dtp1tOcfmW2aM0dHtRfwnsDvuIn+YH+QswR0lpR6c8VKKS94g24cCu4SMU3nQ
y36EF1LNWJMKVqIfvYX6ih3J1D8gUibsMTG6/yKaY7NriV3gxnZr6dUmcIvupEFM2pgFS07aw7R5
O9lJeeEeL9/D0S/fehwXi5mHh4EDZmHCt3QlyeyQvEls/PcScaHrpTdoRvYgq4kRK24bOCh2HPV3
mHTKo9osvGJDM3Y1vCh7BTZJvdMAjvTdkChpSyc9aYlk6oxiGzGos6qNXfnxLW5UwLfW+YDDxwkG
ZnNmabXVJ97gfB1ibVQKLc6kfgx83AomUYLHdNk9YEjL9gL6s1drafZqpnp1LAgbYY2acWZoWB5A
v8WMS26iVLRi2Zu17Kzo2l1HBIT4qhlvNYVyiyZ4iSwgJ9LAeChHC6z6/1tb+f+PoXq5dET+37e6
/5H/DeuPf7vVH3+/mvC/AHB//s9/bnWtfycR79rSRZnBnb1Ubf7TMq74L/DolEBT/Wds/l8tYe6/
g+WApSLEP7G4/9rpYjM3THa6/HbKAt/xv1npCrpE/wvPYvkjyBQulWPUhUn138i3Cl2jF13cbvGI
kl8MaQV6mW2Qsp4sXHW1KFwH/y4KyDz6WGwtvY03vAjk/wAiMXhc/re/CX8N2+E8NiWORNP5+Zv+
H5wLXfaKZgHX2BSiad4SZ+o85HP/0AeZ8dIlEfcgzTWzYoECh3RdMsY5qcu1A44V5FoRbTVBM1+R
hJAqcSytcqYNup7YWXkZRSQ32Jr+YTZoc5h4tT2EcRTi/sSItbGw9z2GTU0KEbc6hENyUhqbXm7c
IAXsWTOFspyfNjnFgutQ74a7AF5lIFei7LLzdk8ItVxjroEyGPPrMe90ozjUvho/uOUJucbWQxbB
o3HUMh3OTWt+6FJPL5IcYk3MI+3IX+nVaSQkE6lp/AM5jIBJUkuOVh1GwGTCwEyGhtZOlkk4TxPe
J6Tm/7S20xyY7upraLU0hhbC8NTyuFTIkbdAmcjDuTGxxDGPaYERDwvDipsl4IXhglOJ0UNpeRfq
LkjwrwulG6/h4GrbjsfCgcoon5ymaZyrMNC2/BJiaYwNXjGE9b6hZ/UcaOZw6FmHefWUbvMpYKy1
qu40tRp0I3Dnm3Koyg30YQPdlLmKw3kAhtVaE3xX1b7ISi+ZawrTs4MqfE7zQd5Ruf0NFpx6Y9Y6
imFjznxp1Q2w1LTKlDZcgiyJX7ph1H4NQ9VvY1n7e8P6oQ0YOGkKBGhzrvu/VRY7G5Ul+SPqNKce
u5XuMsCOJE9osmyA4tyMw8UK2Zbl2onQKg75EbNar9tX21waOPUkIPyms6nOcgMbfi03Ntf7LjGB
KjaNwvISTktDj+bRoZGQcso2jWqYTiK1SkOfa6Rrco8cW7Q3qeLwyrauHsokae9RHLRg/Vs4wkFA
80euaX/sueL53ufTQ0YCD1/TIgfwsdqSvko2pdnQwtE16m9Qt+5uQPiG3KUZSx10P11Y5sDaDQvx
qI+muHVZP171EuNaxf3qDTMicObm1yjFRhpm3bwrg7Z9TFNJpHOJGfNgizfVDMQ3M5dBVM3RLZki
HnHCCDYox3KD5UqBBTPgioZV4FFhZXDVtCVB57J8S3MePG5k4+iEOrqBmvltDmGwEYObvdAFiJd6
qm0a7/nd8QyrfU8hHsWto3UoiAbvch6PuHYmlzkEjD45N9fdsHZ01iM3uVezxd2zIQSYAONj3NnA
W3mzcIVj95I9byYQJA8ZTb8L0ZUdV55N2T6mxfs4hTYtO+aorlEDKJNYGamy5mEsZ3w8fSEvTmFN
uwUy71m9EpfACa8uh8yGCuOr3mXrNCQ5Fuh5d+qFGX1ORR1+ZwHOviXEgJ1j9sH5Dzr5N7O6B5z6
exMf0LHu+5KNgdUe5ryXW8221ZV4DV1mnSRGnlvmh1E60ZH9pty3Q9d91uynnziZHXp8ivq3UbEh
Eyy91xSn0RpURl2HDGMFKjkASVmPfPgpHbe7btpJykcGLwziDMt1SWeAH9ImQCzVKR/Y3Az0HdZB
fOmIkKCNaPEWVQWCBd5fdtd+QCVRXtv0S1S6ma6drjdbbBeDolrcfzMtDVtuBiQQZwRe/hVzOt9n
niStfM+E0z1qRoFoYehN/dZU5QxZwg9wgFJnpaQiEGKG05Yzbdo1PDOQbbLwvRRA0hfjNj/X4SLP
jyYPqLkc8oC2e3c0z8uK4WhbRPk3Zul+TfSkB4cyzysG7zY/Omkj71bkAsCMi4yXXGvyrHJstaNK
hLoy13HL76hIppKCxLr9thtnqSGb23sm3A4zQnHNQw2PwtDscw1dAbmVBoU8ymZq//CdkWjmBTbT
Wvme2gl2KPhTxd3K6vTgxgRLAWHbB3+InAWmlx9Cwx9SD24kJY4tXYk3Ukm92AGsppcJWGbvnsvM
F8mXoge3exJxZj0H7ApYv5Za+dHwo/Dh+0b+VqDDXKqA587KL7igAVTyp2XuPLyWsVVDRql86y3o
+3uSudoJpsHon3Ce1GuFHqnWEgFlrUfmwGi5fP6Dsqa4Dy3IgZPIanPEr/QtJkM+cRU2zmGw4zR+
bJumOLS2iJ67umIkIN6iPFNUhnzoM7f6DpApdMqQbPUrr0bzcxqc6YCqJHdTBOUPa7zz5WZIyJgI
9ZiIk5BnP7bGcIVNsnomg6su+bjkNZPU3vWislZWo1XqCUB79Z5ZqnqyOK2fp6yqAN5r/TYAui2R
H0McKUjdI89R39wvGTP8I8wuAwELyGkQ49AfUzB6wrfjY588aW4P4h6Y7Moid7AhJ+MjK7l6pRM/
r6P3QcadsarLaG7o6gtac0MYXP5WOszDKwajGONulC+JqtRBBGTdTzgThf5RsJ7luNWCx3CQwz0l
6fJqaoP5XLQiO7qikVseqsXVT7XgNYfpcGCqoXtN9fwWzFoDKeGczrh0jIYdHr32JGyL3YnraI9y
MijwrDreAIgpX6QGjK2Dd3PCSuP3r/UocmIdbMqISeQI5lOS0Xk9z4Rfifj1VIUGWTHuY0H6egiC
A0CF8Q8O3cEj5xr+CuCTXGwzyNbUGok1pBITn2lgrDFlAm5BstHckfUsRX/XrqUntcakRa21nmnM
Ys5uHGPAkjkvk6ZZJ9SLjidaOonnU4Hcoaw04zwckcbDI+MMvcnAzMMXxgb1YvHihTvIwnTYuaCE
bkmFm3iYFB+FucDuGtdmDY+g2sp4Qt7pxoEAg8w9Otvt0xAsqa6CCi4vb+rmXvqsVvxYTgdo6e3W
T2j2kaEJd6aCq1MIOwVWOwdXQn0Aniw+oxae3LPSoI9EATbLyFqV1leoH8Y6vyu9+/AlGSYzORr2
ve4Hk8RH79MfSf7tD/MlVgQBbcjLx6lH75mqG6XV2EsTqA0epnPngcYZBfNb79jPNom7czTMe0Hi
prvYl9aeknsFDydyPJ68ffVQsNVbOxL/m+iyEuuzLqYbmzijYD09ywuo8/4WylBDUKfn9YT3O3np
OzzERqrrO9k36SFuZHyDfmc2m7gspq8egieSfTHEv5zWXfaZkLU9N25sc01YTaGOEp7LNkXmEMQa
sbQimEtyACvIonZ4cBq68+KoHJq172d0Ho3syeeiLreqqqletzv9IR7siuqhLnkbycQbxx5PFfZf
mpL2ru9XGCygRp4d6J4lJWdyz5dMlqEX2r43e/GnawIT1/Nia6qbSX/mtGE3BFmgA84z0jVfg5DF
JcwyJ3DPNd28IBfSDUNPuQuo0DoPUjaU36VUDg4gE9lStdoRYNYHoBD3Wpl0C62m2Ui/utwOrgmn
Irc/JVAr6L68HjoYSV5i6fkF5gbTm9brb6UeuTcuuOpUwBs40d/XbqkzIRQOs4pWnsL/pvku3STC
tK8jVTgM0DaUYYR+wSlaam+amjlDkLH9EZZCru+SMkM8TWX1NA8KpMHYGuYDtAh3Hbnz+MHGw3+c
OMV3eHB1MgIwgWioS9foBF+1RUOkCojh2VKU3JyBz9A5CxKJA6sghoJoME8m36FNzBIBR41evJYG
GFrFRQO8uYo3WeTb8FnT8E109UNl4LrFxt3s0sKAtNjwuDnXMkhOKqntJW+VdvuCN4bnBqFB+lJO
j9Yo0zUptlNapK/KyL7omLq2PX7YRIQJanei0+CWDwcN3ouosVYWoM4I9rXzNa2q7LOf6u6KDYge
DaaAczgn4V45wXC0xZ+ETE3bthY1VAkICnI+pmaFvKXmgS36lG0FF1JA5G2iZS0KMF9ECG2+AQ0j
PEDOOoaTOuMgPCVzpC6BTfCQIC/1mDG9R+u5lFgtRa8xMmZ/nYEYBNu64aXkh2mL57tYY3tFMAes
4EE0SR6DiYnWrwPr5LSd9WhBYz72LKQ2raDJytZ+lmBRfOomOKasymv6A9ucWo8uhSgx8dHA1koZ
oxz3fqrUDm/O0UnanY6lETAPnsWez/S0HnJJoSUkzSNuRCAhRjyeakA/HhIXtoi5gEWyVGRsYwgn
xDtkXa+zhA7HeR73FlG6SmeGmK3eYY8DoYKYY3rw2W1ufQJpFB6UhbYOCdJtioa2qjCo3LsuS2uH
ri1+1UTSiF0E6bEcZ9AcmgguqSbRfuCQkHKIjd8O8L1fyp7LJybgGOIOmZwk94uDmZcaynAnnxbZ
nLNSEuyw8jo8120cUhBRUdLF0PYphOAJLUoCi1Q9/TXxs+KJas9jFZ+azIcRrft/9JG7z5yo1ksA
vkbaSxWDsjGmnm5aAjp7DWfqYTQ69wK3zn12/Lj18qACcAKGzOvt3Nw0pnA8aZdnQPQC3b/wlE54
y7R4RerZU9yPCXNCXn8IRbEssAx/bfHEPzSmsR+TWTvqhEM2NOi2D63bNkdW80+SDJ8EKL8yrPqh
MH5V+njpsP/MJrWFrXpPwuGaD7rYJ+H47GDnD7SMsvB6Dwh/uZZwafmi6NeMhr/qwL1nmesZffRR
s9hYpzU524D45FM8dtnebenE4prJz1YyGHyO6+LgOlCkZZgdg9GaT4q80QYKYrrPEmdnTURxgdql
eMTz6DC0abAz++5ZN3N4gRM0aoPKMG/utQqhgTH8APRK7WdW5Z+mERfnpLNxMMAYJKzRcUYa6H0h
nV+ebFN9F7iUWBSJ7Z/GlIIDzQ2avSt46a/yKrbPUWD4K2e0vSW3fqjTBBnfPoguPAnsFLOZVZuS
NNBrSeP8Wbds85WU0pImQ8DYSINQ+Q6HOvXECXWD3dqBu0YEPirftMFNPcfkiTIrYJ/gFssTyez+
ubRxukp9FU/0HTs9bgojPrZZ9ZWDMrpQOa7RJ+To2GwcedRLx6tqkW1ZMZWHBVa4rpDxPCOppwvh
nd6jaUqHzMzXExQd+3c7H6070HuEkdhxbmMHPtrXe/hgtkt6OS03PbSdrQI92+GW4cwr7iZ25Cdw
jA0vnNEFHILr28DHpuptKx1jN0Q5jMVB558elDgWhMHdDJoWBKuylueMkIqnSgWdf/KdM3rMJYho
g5/Fl2WSQ21m++i6z6OeeGRlblOUHmDl/qEY/WsCNmOu9LJgEDcqLIJ0EVb7RuAR49rU1oNMRy82
NEDbuDCRxnqiGbAc9txc+0TIvbAbb7B6DwlzsWZke4fgaB7Y1DW0/hfU6ActR/Bp7HkvNXGSUJ5W
zFpbXMbvLPWxZY0mxKWK64AQgj49mH743pnGDABYeyNMK69ZPLYfRMXLPf+dzAFji80D4oDcDgOZ
8P0zZbyXwqy8Mh71tU1b9RmrE2kgadw5wAk76JV8M82MKpZQUTM3iTfaxF0vVg5pHypRmKHXNfbL
qWi/Or0xECIhzrl2TSagcwgtZuo7sY2DCnGgJeM6HLKXSkWMlyAxUeHIaHOBU2xSknUyd+hjd610
iMdOWrKJBqhqK3xc7TOP7AacLSYTH93JFe1tqFNGPeJONyA0r3HhLt5Ws/dEqjMvCjZGtiBdaza0
A1eUMFiRkbLKE9bDOKoG5iU1OEkd+54kgmNgbVQgMbEMiJ4KoDN54ROxbhijRf7cxfCf+/zou427
j6h/UbM71l7TQX/uCpG9BFUx3t28PcZzk6xSHhwkc8Y99WIUsZSEXDbpOBWHqG26rZYoEnQiNPZJ
I/pbNffB74DSDtg/5gdP/hd6ItbDDTdXJ6q/NnuulyHi+ScYfQ8hm6FNPvZnqrR4UCsCdfoIls0y
0pi3SXcNkAZXXVeUbya5230ST3gSI+AAG1GW8Spv+9qr4AicDZuNGc8Gf4t2o57ncIjWvj6Pl4Kq
YnaZeNwOSsUdMscYebk7nnFjUu45xCPfKD3YlQbhQNuwJ3dVlWb0itPBeuBzhkV0Ok/Kb84xmWoQ
qjpbr8McG86G/7e5N42lHQxeirRn6hhP9dn+LGe/IWM2PLt+/JwZRbiz4TvuIB4kbxopFq+S9a3D
zbmKI50yIBqLPc3Xuk3APc+c3EPtDC2LKbx8UjqpZHIBm2m2SX3p5IAPGITLdTUM70BGMBFxih8U
5LJLSgG0FyymCVIJSVmRFON7th9G0znbQbmU4NqYZDwZ8+soFu+9MA/ZUFXyr82qC2TiZNxyFY+P
cRNUwsPiwnNYtwc2qVTbGEbwK5llcm4w0x6Bb47lpoE0FK00aBvEHeju3A1JmPyu44HYcGLKbcGk
yUCVdDBtuZGjWa+p5rFLQ+NcwCx8caXdU/mlphNt0tqbj/UA8D1Pj02zWASRgXELGj/OwbTIMB80
jGTAq8S+HwTuZDvAbQgRCufhOCk8hIsd0Q8abKOLRVGHZnjmLW+8oanLg2hV9U2EgtHRt5rzsJgc
c83UH41cBldqlM1dFcKhJ7PJACQWY2Tw45HscRid9b71aoY/Gu1wUMZsKc7UqhrP3WKwBDhmvHDw
E5fFtbjrf5yYi4+AXqcMf+b449VMK9o/efyXXH3gWyarwgwoq45NWLH4PB3FeUHX85C8GsK5dKAD
WGYO+S2uqHgWo/XluyBBdFMUoWc4pv/XX/yjjCHvMRyPpRXn0eiaF8NNeq9fFl44mPfAC8ttwux8
Gkedjyu4m7Wj8n5PECX/oHkTg2oJZAakCu75gkhgsNhXISXMN73rMRjpKcjACRPYlh4ovAJ0cawN
BUc4K2zimnH54CQQZctqtMmLt6/9hEVWN+pfkSAOVEdZvksMqR7mxUVL+XT12wqWPjUdn+7OlB1p
3c4yQW3ApKN7+yUkGnggisu404GscbrTGMUxBx7e4cmwvyPG/8X42noL74CTYKTztl+MvRA3uExQ
n0cPeT0/q9m/dfZ8U4FyH0PboSFucQUXrfGZE3ZZ1biqLuNiGa7j2TxR5qx9YEsgmlm4vzGGOntF
thaKs2Otp544Yf4P57GP/2TsDYHxGmJQaRxJDOSv8eJVNgQfv9zWgiO2aAopKHvcMLw/thEaPz5T
fWtX7VkwqIOX68EIsJXc9NgEDkmTaw8A21yWGNZLiKbu5UmGvFITgAs11ZM7iFnh13zxablQ564Q
VfSzgHu8IscQH4UT8ChOEpfNkEpoBRifhAHuEoqoDcmS9Lbhu8/T2C7sxvxZ54eIaNmwrXvb3Ywt
iOI0fpggGGKEAccyUutIfC4RyPWyI1il8rrdGkw4nIU/3vD2xyc+EJk6uYXZhmwBcJcXME7YVysO
ZLE40Ceywn8LLF6eVoSQLUU98+2VzaHgY0iDYVlQJDwn5bZcTO6w+v1bvRjfp1Y5F8dt03VSxq8y
UI+qiaEGW+6HisUppS7QYdu9syTY5noyH13mohMda+u6irwoq9+mLr7LvmDR2pQUrhT4P5JHv+lD
j0IP97kGqbY2Fn++qRf1CbJb6/WwFd6kEas94QhGmsXb39ZkX2fKA6qwxBC/JACy1l0F3eO4JAOI
EMTHeEkLZKCu/XVql4zdbc3uBbB2tQ4g2YifsAH0ayxIZXsMesvxRiIJ4iecYElyWs6EJAgLVIOH
/ZNjyKgDhjdu6awcgR2bVUbkwXYy402vQoIQ9pKJcJZ0hPgJSpRLZoLfND7mzvTaOqyoUs3YFpxv
F/cnbaFRVvhJ+g03ioqHx2iY+wOFQCQ0YPXoS7OQ9sK73zwDN5RvROT69ciOPaQBOGyunAukPoLO
Sn8DD+k/Q7vlXcfSwO0RhRLcMSfi7vjWwsjq3iSO6Wv/ky2ZaNgr0JiG8MHHYA6k/CeJAg/QfSES
2RygHZBUyZbQyqATX+lCQf9Fik8UVhQhSTaZS9alLoz0GsglAWP+pGHoSCQZY5OXLymLsqPXDuzX
ATmKMY5ezWjLi9ra2x0VISusXSRubJy5a3eJ4YAu/gwzU1u3E82+3ZLVqaIi9vTK+EwZ+BDcZhZW
gDpZiQAbdk79P2I//4gALWmgCYYGI6Uu7znpfkwaP8EhzVTNHxO7kr1ulmRRifPjb8xAvp17Sx2c
JYGEyjo+dEsqSfZowuA8W3rPU/nY/cSXQngoVDLZfPeIIZt7TfNr9KcQ9oyD7MOmK6chyaQkb8lG
5UtKyl7yUvpYP6kf80Xqi5xsEI6MePFmQIQcn9mshdsKD9lMdFKnxW+xc1B8ibVj+rF52GoMPVv4
8g/95i2IoMUR0izeEGNxiRiLX4Q0jnlNf0wk9o+hZMBaAriNqZKMqW6ShNYX/wmK4q5aHCnB7HyA
Xgy2zuJW4YNfbWbN7Q5Atoyr3ocfbrP0wETMtATH+3dM0x1u2aDaEMi+dWGfekaZwRPQ5474gzGt
VZvNXjXdsUomDX5k0ygeUARBvXSVeA3KyqMItt65NHu/5T24tDEo6g1e+4FaamGv/BRSUg7RCWsU
0Xgg4tvG1Pwn7Kic9Z36PfptOG3inO5O3e3rS+yw/BpZgT1RhpWkqziX1gti07wNw9h/HPIh2raj
Nr77rfhKZ5YOietb17yuszfMmJyI0B2w17rRY0crwK6XKs3WtVth4kVFUfM6nmE2RqwleXUkcfwS
dkTgbAPBByt5FPRrguvRSbpkvXmWWgKiN3eyBF8HGnNcQI8ClEjX7yzYzh0wcVS16DBZ2KH5sNib
5aa2eXiQ5qHfsMQQQMCi0t/GrqR7q4NxbrV9ugiz+BUj6FCFLF94mTGltFa9c2AkXGLq7re45ReD
qvEb/c0/MYjEZ7rRwIVWPGimKFMniU93TZyUiD7a3yWlqPSXTeY1C/RhSy0xrkFgzhAJyvpUziLa
Jl2jP4WD0e8QGVhztuVAwJ6ppdrRa+M/h/2oHlhX8qXEiIJ2lVsnpGlx418VWicx2vJCGaxco67l
1O/OtoGNonTmM6Ui9vdEJCXdob7wBkR1G49D7YLhtmY+PexSX4LZ6q5mV960YPZytnmXamzVwUpt
gMw6BrxTkAcs4yqodPyCuu+2cSkSKBDFdzUoka8GhaRiF2b3N8U6sG1pi9tDjeHPK5rS2AkGhZOl
E53PpvYj6bHxbNwe2BBe/jx64/sLAriKdyNLBK4udPVVQCcROonvqbi56xYZcsJJMKkHAcwB0/lP
DA79TvcgjwExm80Om2ACdAaKeX+a5pGSTrDH7+1kTiB1uR/LCnoJcZ6l3rA42bnEvFwqyWWDZs78
D4Etemorp2JdHDfm1QxYBLSFDs3J3UYDn99MTq8ilcnfmYDbS4PL+S8KnHuWnThGXWwCysBmyLbI
GOqcs1CkZA204k6l5XQtREW2P88piyZO5OkJRJ/BXYD0o9/j8yZmySqYmeGTHSgvD6MyrwERVgzO
I0wKB+wrwv94wJoI278BD3kKsogf7bhFYKKBd5O3Grj0sf7thswb4I16/cT2mdumj2X86bOs5JkA
qmhHPj6GkiVdvkFd9YvF0HsUzn+G0U25xlX9ahpheogqSRCF6zS6C96fv9pJR9bpsC7vYT86K94a
Da8pPcUdwJvFC9yoXzjo+SNtnPPazx11bbMMuhDwVoAL+H7XbPpIpDbB4s4vBzwZ+AB9cJRDq5Ge
NNc/D5yEtcR2tutHFC+B17wgdR0HZLQdzQDiEWrOTqtG47Gw9P5MN7J5bDmPnjB5aEBCyDEwtI83
iPfW3mjb4B7SZvBaJQAy4UtAlMLnh5lDs/pd0y37cS2pxUNsDOyddIhVCF5tsx5qcnmRxExkB9wE
EQGljOQlXdJiCDwKm4yz3qUwBnNQ9qt8VkbpFbA9PVWpHMhn8x2LCH4i4ZNu1cTYGeqEwlvDFC82
u/11pAt3pzhNN+i72VlLjZvEf7xtIBKvDDnbD1NdFbz3x/EP/LqqXzXOsDCh/KHmiQTrGGZH9oRI
S/2BZo03BGz1x3DC/KRNCl0t13vs5PY0r4Mg7eg2Cx0aS1EZJ7O9N+yhEwK89XwxwbhvcdLUO65S
/C7R1F07I3siJZ2cR2auPV5Q07MG5w32Qki5XBUt3X1j/EoXQ34b+hF3p95Z8RvZUTQCzZkxN0V9
SZRkvtR8IOjf8+m4gwdKgjUhCTaER5lFrCN9h+gauJ0SwIYHMMfZg5LID+wy+vUclRk/EeNwFCXG
mTmu2W/WNvkh35ngPeQ1rg/TNH9pynxyav/VHcvhFtZB7tH0mLAQomQzG2B6ZmP8GKITRrih9qSX
+Plx3ek0xSWb13TMHxKsx+u8Tg4m4+wjiC/2BjyiwKVnJEp4PJmXEmT8nr3fp9OUL5Y+nQLqbpjE
5DGvMkQb3Qm6feyP+p2CX3vbkNjYScvKXkVH7eGqRZM+kKY4ikJ1J3YCeEIsSYOzMCqK0fiHomOm
XfFMJvRYI1QDh6agkiMdwADx53QbAEFdGHbYOooO245eUeSatCwAxm4y9KXoHB6ipaePHNM9IDSL
Nl9ujmKLJqmfOqP/KmvBrqcJ5N6PBlZ7UPDKB84tiX3enI74CSzU6WB86dtgpFvcH/Zu58xPWCzT
zRz5rKRckT9VDBdPZKMMCvCy8n1Ke2CQIe2qJ2hqzTp0hfOtRtN/68FPr8KZRykbaaD0/ORDwERe
cn/lUTpRhViwNQgLzUtyIwFBKsNDPIC7yELbeBSRih7MvGFRPodpjdvfbG/sBsLPdEBPBvuZW2uT
RSR2B6FOYPGtu0iGkfNsbtgajhIG1eTW6ykZU3xbEXqCtNzPynetI4NK8MmScAHwLKsos4ofIx7h
GQ+BTh6d9r6sgn7pPq4sYOx6+07TovHGdiN6x582X9lt0Ijq+tpmrt34K9Qs8TSNCuXAL9IXP/bD
DbIAz/tcW8Bnpf0sdaFTiVlJmhlV+ARukmKckhTSsQ3j5LsQZv+cc70izEz+tXIrKfFOpPjI29ja
aLHvH7vMNLdVw13D4znXb1T+Du+sWdQFySol2+GQNwS02lxRDKznrOMBrhVT8pwU2p+4qZ2tqrk/
YXofw2AkvGPK+hpUo/iQlFBueDnjwMgLmFKWHWkYg+oMi81sHEDQaMDGtP5pJoDGfn7oai/N7XI7
1ywyytgd6BAxxLcRO/4Jh06Zr4CLgi2efMLYiuFgixjnY2vn53Coac1ejTz1V4PNtgA1ynga4MQ+
xS5srgAjwEvuR8/crsw8krc016+5rzNQdXIIkxOQqfFVDfD7oDAjPGkppnODsdZjRk5+uXE5sYzW
/PDeWzY7NzeNB9YO7LdnfDUcUZGWbG3dtE6NQTFaDleSskHUu6YlIOjy5Fy7MahK1J3pmW1Yu5fS
Xtx9y+691LvmG3PNRE1EIJ/nSsyHHiDVmu9bs/pP8s6kx26kzc5/peCFV2aBDDI4wO1vcech50mZ
uSFyEucxGJx+vR/qUzVKhe4yetFGG94UIKgkZd68l/HGec95Dpeu4FRntBP0rOjXfFSbVecUA/KJ
8tAVJtegIgPZnLclG+xivOqT7raYrQ5nHB3kOgj9HW4yZs4oMfYlq5t71Y81N2YlD6ZD381a+dAd
VhO79+80VEpOirl8zGJeA1CgNqg0tzpW/RBetalur51QZaeYaDtXeIyCcNwdn5fc+uKBY1z24aS6
LSlkH44+tTPd6n/gFUvTVOS0HvWDBInoV1+yqcLtEi99ybspYoWCZfjRzdl/SNxXN30Zpq9ZoPor
abN0QafFDJv1ZFdgz5e3/ylO+P1XdfVWfKl/+cX5/o9ff/lfpF3OMW2s4/++E56c5NtH/Jb/m174
f/7hf5rhveB30/Sl7YlAgPR1FoP9TzO8/F3i3oLZwfva8oLld36a4W37d4GUTAAVj7gQAo7Jbz/t
8Lb5O2EUdwmzWtL78Vv/+BcI9dFXdfPP4kZewV9+/Vupi5sqKTv1v/6bsBc8+p8LHilRpiyODxAq
MY5WBwLLnyuGhZezxPYXG2oYlpvEU3jIVUAmBjxP8+F0drtNzTh4GghR7l2DFE7hhB1hYNoOWWOI
T5P3OqVt2MyxdV0DJS32Dg/IV9a/aLGzWzNKd1nz0XQEl0A3KmCiU3SFSD9SOxobu0qXUUyksWs/
AzCQ+zFW3h1BIVC4sQmeMURpp/DEceNdbxS7KdCX7FpzLjAoAHpwO2KTEesU/E2TRZA1qQPMq3gH
6iDSzywOg8/McDWIwngK960R6p1dwndY52k+fkaUeLxiS9WnWaViI92x289YdA6cTNOec5wWsLHR
G+KISFaJf41/fdhOLJgPFQRAbv1klobGMQ/g3+abwcUCHKRjDNnNdif0rjKdKQVO6scet8MXdUPu
ZWca9qnx9cOszOAbN0z/xvYaB8CD7BNe1SqEtpBwVWPb1bbeFtYUPsipSHskuYnGhUpkz4ok2MmG
fU+NqfhowwK3aZYkF0nMMi/xfHWfc+9lgFIePc6zKeHSegnGOAzkVIb55yYhdhkx5bzXY8/qelTS
+N7D4rssqJF+rlJRXPID5/uUHcUe0PgiaTpXg2S9siEgX7GXBHsXmv73kc7ojevGKPB5Tw9Tk9XE
0nP7Yyjo31jNOe580sKUWniuwwtllPdkuajQRGTAkKLNZxYUhLjcvDkEKHMbcBHWpR3H6lCLpNkM
NtguP1q8SRH0LxgGPTDQwU7P0gif/BYTDRDjgjGQGq5eEcjs5th+GSfAclr4uLodr1gs4ClF6j6M
UtbcCLSCmLQXKu6pntiIAZJfIeMvwUsSrpKyllcWoIijZgDkh25ewLErLoZqDj5xmESPY29FGrxG
8TSNIj/5QBMf6CnhujqOQXOBhVHDgTPFrWpsClzgU7IOrxzEcqfV9adiKAgWUyss7Xqn61RczTZG
oHRwxysgcgshX/CuTSjje4RbJpoNWYl5ZxS8ZkFKVM9oS/06y7g6UxRe32Gq887M6P5uGigGAyXx
2TiLP0m1+3ryvKesZsTMoCTAuwCC0U7pZpBZvEciLh8tUh1XJBZRfKXR420BZBivmjiNrrhzRzf2
bDkbkDxsRSZr5qJaAoPbK3sJoIfmtNbcotce7sUPf86AFgQUjB9IDjg7rtw+C4fsZtbVh4I8j1uB
gkZz2AizMxZ6zCXtz/XBb3A0Bqb7EDfGJrJKgeU5heUtYpLsf3pW/3wM/vmxt3Cl/vrUY3bmOW1J
okDOX3uAsct6jDc8DiDKi3jVk6FnYMdiHfN2LOuLEdvYeijw5avyOUdgjLdkC9srB3kIMSTEEQ/C
cfgeFjGI1LjMz0G/WEwTYWQXVWSXz1WTtwSUh8TesoAjbdl1LX6djrXCXfDj85z9+GzbqKaQMPhc
uEfADPZpkBPOr6GHs7FFA85e//5bxyb+l+/dsok5cvKQ4KGYwzT/8sSfjM7BFRGBOJbRfQARHk6d
fW/446u5gKqsKtNrSTCFditNHMHgZ4wfdwTT1rQ1axsjIkO8pYKdWX2aw3GfCjls2jTvv1i6RXSL
j9PRa4aDM5Jot+dmXAvdvvqqA87Rgv4ouQzQsLfOsuSjacAK894qcKT4LB/MAE7NlOvFUxyfBGMp
MyCVzdCfCOdQU29TvpCZHQvoTKzDAcdp72JakMFYsFgbgtfKz8rXqTfBCLgsIkRh6yuqh5qrnNKO
XTxYxb7qBu+ZavHw6BZ2eDMVSX/HLwFHzDp5BqaOl7cfiB4HHc1uhSv3g67nfeUCkhJEFo9R7INs
GYiO7KJORPdTbqQUqM0RQBbFDttOs3iXOYG1bwcJSpVDdptTYU+JFs/IbavC9qkTBIgiLiJPlCIG
G8KoznfXpKCd4pDszO0UvlAt03MtATqutRLyyeikuA5m37i31SAQjAJKrKBjVl84t8cn16iob/Kq
8oYETnvjs+M4mXNhHWzLiS9gu8L06Z1jwe6o6+Mlfd126AZqBB2rrfFWDMNwOw5FdsX2hIKyBduC
zIeVI4cmuUmnpr3XIqdxVsxAAcldvTu1HT5UoVNBKckf4y7Fet/NkhVIp+bitTDr4XK2BUtvWkJw
B6rxXEa+e1Gwn935bp5ceOCmaTqkYWnXWumEXakg1W22fX3hkR+9VsZQ37oem4I9rR/TAYRzvpGO
DbOrHTSy5ZzdaCoXLuET0vzE3QAYuV2f0C5ZsC5PkbwJGVfAq7nIf1V5zWL7fgHGN0Ne7I1ouhyV
a+xR1Km/5ZigyCLDlswzK3J5elEbAgQhsmKuBIbx3V+ecP3yrMtbsmNDS9sG9wUYMTnsjh8PRv3j
IcmTwsG/wpOzXZ6hfhvznMkTMfMgiE0KqZfnLcns8nFcnsGtcMZTCSGcu5tgk1CGsGwEmK/zTBjx
jmBrdZ5NS79KrtobAI/eJjNasSOrz8GQLmcEWi3la7kFoIzbznjVRFliHDwxlwl3xuUIMoOa60Zg
TN2wgZHqPUxmJa9VnTvhhn0XKNw2Jv7iV1Ym98qkls3o6XVVyzmp2Udv0h8naFlH/vtQp5Kjgve0
zTmV1GcuxnBSahxrhwqs5D5knZ1s2h9H+mwqfrAs2uMN67ges2vjUTGj+BF5P6aGaRkgSMJ/n5eR
wv8xXGQ0arMz8+QmXuYOmGCrMIihKxXoh6xMfB+mkh7PRW5hfg2M8RhKxBcEmGJfM/pser9Ij6nW
IE0gBZB86wNnXY4VZNQgz7JLCRf2aHdVd5lGhfgWQ++66pT078rJCun6UbHaCXBqX81ci5sxHyRw
ed3fJFS2PBqESO9DtDq1iUztHTvKQrHNYOjZFKaTXBOGGrBO4Gy7cg1bH1psipfMdBOauSO48jLb
y5tiquNTHdbFVQfxA9jY4LXvY9s/my6tC6QjpnhNHlzi4fKtvT/28YMX8Y2n3BqOrVEj18ap2z9E
gc/GpFbSxqDvGDdyhvnusXi7L9LKvRkDH+i3x9FlEWZ6qLkEA98xyfPYRoLVtMDXzP6u9/HvWzW4
/2BM1aVbl9HWxdSH3TMx30mt6Q+7Kmte4zlLiPnzQdtR8odp0YU3vGB4eBknL4Fkk/KKr3PklxMe
n+w8tL5xCsDtHbDNwfTxDJzpTgKqrm7c6DbBE/5ijf7NHHXjg52jcoyVgT6I6HBCr2LpOVCndhtP
IntNbQxKdBpKe0X7cfceSUxete7U1vSguwdVFu75X95N2iW2fEVy20EXO4s64M1Ps2POUW4mtwb9
JavSziu1wglAUyXBDOdmifGFWUpi3KUlAs8eHqv5yxSGMbJ7IIHKM9EG1GWmFd2hXbOVYC2fK5U5
p35SmnhrArzN8vR2SDBJVCkoBk/AX6WLmuWdz8C+xQtASjJwT4HpfC+G4B1EhL3nAKO9JQgr+Kyt
9Pm0k1hblWkT3bEUnvY8eRisw8x8oiuewoqqeKJKRDw7jaUPvc7rbwQF0m+hMtuvjM/7JjBSfF/d
/FoG5pMNT4o1YSrdo3SqS+HSf0w2maGfNJ/GtLdlITjT15rTabA1iSjCNwvIxp7b2qmPvttx7obE
0gI7tw9zV6dbiy3KS2LwPiUoBht3MPSmjt3wQ7SJs49cPx1wPS5j/VzSMDWMel6PMSh/HVMsQwZ5
55LFukjaIjnXk4imsy6N6g5NSzzgjIEJlVRj99VnNeOinSn/omxKnjZ9ZKf3LCuwg8/LiiBlCbzz
cN/u28oGmZ7WZEiNENDixqOPlr8VRzKVi+SzvLo9iaQkRuArvvc+D4+D9tPz4opePC71j9xpvnW4
jlxnLhWBZAPnLZZdta9DYAwiBFnUGNl0HINAoF/z749m7tEyDa+QuN0UgGIpp50EcrizLe29xk1i
7TFFUyNFQEaTu5r41LaT6XINjdNuVVcKfV29BKG+nD3ze9nRENhbofXW9YZ3HTR4gbz6QSETRSuB
qHQnyA4WLAaS+TO1Zz4Gsf9UdCVDteZsn0VpbYa+Hfa+2ZDRiO1xby4ZHVib5hNCMgZ1NKYYAzGb
5KTCRhY5or6tvbAQ+GUC3t956XcPyBPzg1trAIrwzzWBTExn1FT1q4rv+Ya+H3GZcmXHcIeBwHYi
wTI5gRyB08Qv94EXGPeSo/rGtsoBmvl7CHqoHOqRZVo0xy4OtwnMKHQQzETlZYH9CbwFASwFHYUw
bbonBNHwFKEgR4LY2hTyk/BUngJWBRexMibWPUPgWRtqTC66IZ1pWcFkJBC9TP3sZ68wsaeYVCU5
cfg2Iv2eyugqy4py57e1eevJsHnh/cXh5U7d9TBDEqIAu37G5Tiw6aGOSbKMMtjc84mGZKaGRxfU
40toQjZyU7pvOlM5R7qE0hMnQUyTJXgMP07x2YQ5bntDMVSkEbjXlKY3j9IoDVH0Nklr945cwLQk
92cWNFFxbCkCXc+p62DVzmSOYxlVm/PUG5+Rl11aFhCk15UJXJOcREEmZmq2gLsRRVnM3gvqvffS
qAhk5Z6zG/F4HpxKcpGNmWThzUzbPrHGAzOkyYa18kHRtLYZ3kh4Xkfi6+OOrZSzzXD3PrY0Au0x
l0gsAZqYuNMGhyjPY29VJZNFI6tJVEgWYtNEBWVGdZc+UyciYbaOUbQmSErIl4foSlWQSfrlwEVg
b/aWlT3C8qtPmaP0PgtrBrIMzwJGfe78jus8BG2ptrOuq1PKM4MV24QxXSb09q47qNzumpwzn0C4
8jywZ+xQBD35ZPGlVOsuKPgTfQecaApL+2mCv782nMUBG5X2AeZXvQdxD7aoc2Gd6qQ4lJhIGRio
2oYGSTKM5oV6MwxwS6OM4IbOwrOwQuhn7NTLIH6XCDNpZh5xb6ysODy3RQjfLBvtLb1jz12BsYKW
cZKTcp5OKHxgcNvgjnv5WgT5wGtbwOF2jbC4jBffYjH0HgVAWBGSURIVxKDD3dzP8nPsS4+XILSO
Q1tZn7PuUwYGVX6H/D+u3MFPjgDqjTWSugUHJ+wqel/S7FPkVfYC1Iweg4Zi+Ds8RMEle9/8hrtK
d3ZwZNAX56IsSVfZTyk71zUeSGir7mI8q/PqnBokkMiZpIca9/yB1Ei+d/q2uShZ/RwU2baaBSI7
cI+tgxPMLIZTa88nzH7suK7ddAbLp7L32m1SoH3EgbmyzMhedWl2roQ8jeow+byeugxeVKPXaRP7
d6LsA/ieXvrkUmhDz2GeX3iJ8jUypCRqjE3Hdgf9T4LLv69+/ltXYXZ+vsCRGECVAFTyZ/FzSEsR
ApNkfQ1PbCud1P1oox73USOh+bJ54v6Lryt6IJOMpbjNAFxt4rg22IRn0/uSG2q3uSNjyh/S2VpF
i16JpkMCQAcLcd+KZ8cAW7sonKar8Tz7IwLhVLn+KZEVbmTFDdFY/3+vx9N287e88dNbUejf/vtb
Uf/P385vKi6S9lc8zY8//1OSh0LDesphvrEcB8K3+FdJ3v7dXpZJYGjA1JBh5Q3xhyQvf7fsQFq+
h/xOX8ei1v8hyYvfhedigHYsh5oaFw39LxL830nywBB/EWgMmDme42EqXN6tfyLCUFcWWRoRmeR8
y8oGkh2LKazNrHKT/qp2MrfaLolTILAGq7aVVk62xYLfnKeR+AIVIs0O5IO8cktcc+ZEeilnC3zI
lwSs0YXoUzWNhWRoyGFsGBSJxoQ2BepVNx2LBY+aq3j6hulE7T0uqVvVmPGB5qTmGrNo9i1qQ5YB
9L7ti2VeGiBhnoMIZzT0OoaQZa4qSjr/kFNICxD6e/OX+ctL8EFuwh9jGVVUcuMvs1q2TG09FuZV
9WOUG5aprvox4Hm+5V/MOqJmLl4mQJoZGAZRJcVDt0yI3dQk07mBMneeiPhd1GI0dqFfhSDTnE8n
nWfiji4jp1F2jOCZoOQAJ7+zr5bpFL9QT7yQibVJ+3qDwQXaaNanNAh09sFaZtzMiycQPIFnnlVE
LQq4ix9TMTxs3CZugQe0pZ40JkS6qowhPMvUq9+dbO6RPWpj40eGBc15mcGXaRwKfPYNnaP+FiXw
F8xlave4Enhrky6aU7JM9zOKRIcNLmk/tK3Dk63htOwZgzNzhVwojwO5XficKdlBw4B2ezk7VDbs
Z50H3xFk50M+zhxmSW60Z9eM6jejTjKMK04frI0CcmRi0v8Szil/S1ITdVnTf9JtFersoUSioTTD
tTZzThAJpoC5sV2B04K4gbhDhi4wlvFT2IjWrp+yxOEY84Omjh4RB328gL1oUKJcRTw4B8eOIyzz
o+vC9ewjZY3xjRSMllbdEuau6moQvGwtwPFGx9NNGC39meiHW4e/Uty0fIlvmswgIqPR0dU0EVAh
3QXitWQdsQtBxQkC+UV7jB2DSqzYCr9PtcvXpIpA5szO+K3AeuDt3oZDI+48V4VvPI8zH63a4D+j
JdD1EpluYph7DOIN1vyQBNHGRBS7rYQAFkMyDy+gnnEoCTEnd4mTR98l1VbrkWIzVkAJkVpZWdyc
IdV1HFXDzK0CgIrGeOIb5ifa0fQ2c399tPln5aYyLPu7iS7ARxoTMa7QuVAE12zfNPj80FG/qnt2
zujhpU8FFBMLpXe5qKrN2JOoDyQ58Z0wPN8Blg3ZBmwL7hoMbKO7aPU6jrc5Y+O9nXjZsLJrg61+
J1UptqnVgDoUoza/hqmpjgZuOOzBxUylbxOVHv4rM5Qna/IimoPzILjLx/FDmOiFk1XJD4iD+cFk
vXI3RhJ9XLNynkFZ3PCioKpYfj0+jUYavXGaEkZzse7UE5DpFlEKUoLbBddeFgh2Uqrge51jPLqM
P/ycaNjqlhpDTlY5tQlYUzfQ9XZAiz2wHkSiFrUmVQoIpRUoU5uxM7onZun4PZnT4T0KMYG6FA5e
zcghoCCVceomWdyQQKEcKWqNalg51uS8GjjyucV7NlGrYjari5wfEpCiioxYmGKrAsZ8o1LLWQ9O
8EqPTb1lNnYvMO+UkGGIdCWYOi5wMMpX34lwL5aLjgKSg91YFyLs1h7PngR8S7+2MiuZ1j1DIC15
dnUqbECcG5+JIdl0nggv0tQbD5NLljxu0Ulx8/rhhVQWPIPWMLHDNq2nILjknfnGvil4dG1NiEWp
4K6a89upLJlSxxFKseOXO8qNaaIYpa4fXNkH56LOIfc4TvIBjd85aQZSbvXa3NuLKt9jf9tKBcDF
nqvsIBJDbnJ8A1vCAcOGj3q7rZZneknaftN0jnFySei+5JHKuSHj9N9LVnJriveSK4Pn3mVhutZ1
oIwWrS7sN2QX1J3kOX/TRD1UhrYi6NLrrNnjEXFuXO1kD5Yy4i/LY6xe0YDcb7UvgvOMM+xg0uZz
IJ86wLOJjBO6jTwAUCgrroLsYjf1UKSXkSyGbAupZ36PDBLUaVYkdwWz63EYu1ussMRseVoulaRp
IF44t4Nz1Wbc1yV9Y7d0xSo2hRF85SYwC/xFaipxZnQj8koVf0/TLLrj3hU+iHrEX8O6KniHGMcd
W7VE8SLRvg3ke79x/Wg3ozkDM0ngLgHpBZUYwAPdla7HSjcB03JbjLZ3kbezSwh8Hi761nCuqATy
EI9TKzxFEYbS2YyGYyASun/j2T52Ro9dV1pdt/MoGr+Tniq2SRKyWJ7rGC4nSlN8Jbx+fiOAaLHx
zGZTQO6q5Dq1x/EihrS1hv0JHML0nYvZL/oXoaIU0IOp1zOn2L4PChqpI2j01AaHYba2LKdkeWvX
V7Pv4sqbg0Z82X1VXrHwGLeZogZ1TYfHvGq0rz7CGZ+dNZdi1w+NcZr9WX8VaJZLcLW/B2FF+Mdz
ZLa3ES1P+OWyN8w45ETKQETXURabqO1QRXY4q+z1kvk9au04nAa1p8/eYFnnvmBPGBim3hOwh4nq
VDzpaIRNjokVsWprwvEm9WN3T0YoPSnXb3g1u+aRWk1IAhwnZF0mMsFjpe4G2bI+9UPvQaUBqJF+
QMmCHbDxkVzOxJqvWOiXR9UbeOtnxTLbS13vIuBcff9PGdAv8aBWqvre/WqR+a/pmMEsx2j8t0P6
5u0TeuRb+fnb1Vv01v52eOu/8uSXOf1f/5afo7pNDZDrA4VkJmb79SeUpKAFyFlmeAZlH7oKa8yf
o7rAIrO0AOG6kZhil+qgn5M6v2PawjV5i5NG/NE39B+Y1P9qnZEso7HiBAFGE74Qc2FN/mleT9NO
YKoEmMguBGl13LtOjKNSbOjB2f/91tbyfrkTLN+7hFpp8anzuIbwy1//rQijdFVLFeLJrAgV93fQ
og5IgruyAiwQwJEy5bobvlFQbHgzSeUlMmc/55FYCWqYRzKGbikO/4ev6tebys+vysbXREEd1Y7u
X+7PIX7RwC2acFuTTsHkcyRbyMVAeDt6GqjZozfWgOzSujQrEG+OyNaFgJPCCKmqIx9V3/79FyR+
vOZ/tjPxOvkCmubCGHUCaf7lK8KnWpMuj8KtmnVM1tU5RosVnVVseD3GMQsqaeTX1CJrUibufEqq
EkflLDW6DrPOHJeMCaW8xY6an22Nd5Iz9Fh75a4ecVja5fDqjR9UY2/6riPBVV669N0zbNGFsppK
Bm4i4YFrYBwwcS6AVvBpQ65IB8V4h4W8NDE3BHW6q52SdZpzGWSaRBUsPONuENXdHNKAQl8tSVzI
HNOWJ99m0MEK5OApcsO9bqoL5QrsaSUDwvNiH6eLA5bVu1GeXU9jMx7sEzp2LpxDFjz1uv/GwVsj
OCs4eqN3dLqncNBHf+rhPVV7LgGbQuXMRdHt7JwSL73KWRYBf4PVNMHbDk8yJtcK0icI84tJDvdM
pycbrsCo6LnKuFVqeCwNWNCdgT0MFCodLlw6sNlop73sgQUo+/voDRsftSlHB6urnpGbjlVEVD84
pSC80DwJ4dNGyZXKYkMYkbFMZXVoEVCjXPHy8M9Ab66b4a5q5S0/z1Vq2AfdQdOaiUV6kj5LjmKr
weJ0LUr0KipRE0acAcSeaeIBpSsk6/2tmYICS+4znE1GezXVS31g/EZ1wdZx3rEjvCr1geuXVNNS
mxVcK+DCwXSTtOXBt7jr+N4uKRiuQqWvTGoi7pOOGgqvMC6nhp+cp7NrUg3DnZjHail80ivRhcFN
WDjVR2Q3BNTrmhet6GuEMhKNX0we8a2Yo+otYHB3V7ZcPjShC+M9jI/e4Nx73L8f3YyGaioQ9MtA
q8RK20G0HwaPbmh4YdFTQV0Vne3QS62wnBtkScsB/il1ce9nk96RavTIjc4GYx1NPzR1c2V6wwWU
H0pZaMK1ACOWOr7kwtb2tWyVe9vOvXfXiaLZ/d89/1D4Pug0bSGGdf/4f8hWKjzh/O0JefeWvqku
fiv/fCj+/FM/T0R/EZu8gBgVZxyH3x/alRv8znPYEy62daRyf/H9/KFdmb9bluBADFzByWcvv/XH
iWj/jg+Kw1KSCiXrLeV/RLvyXaSzX4xVFroO4plPdJCT2f/rOVWZ9WiURqd2ZsGmZm/AhAwvRS4Z
phTrxCOd1JSUqLFX7j5IU65mjYtDAV5RVlypNjCiFfgC/wxYmN2yDQzTbYIMNutUQ+7wyDmx7xhk
2axTOAf6IijGZX1g96us8cA8TOw0wK/09byNImkMxJed8FK3Q9uSvy7BuAYKzVbrAryaO6XZy0yg
B2gVI3O09YcUZZ/Vaq8gpcLw4qnuvtPpAgzDC4b92AfsqMHKXzbYs7cUBJO6I9y4hTua3fWibj56
YRq0l49EVM08dN8LEiHPHApQACaxsE6WOqx4Fzkq+gS4m37LaVNoVo0perms/yEfeX0x3oNY13ua
dFtiTV6jX6aJ2ls6hcYXyNrjwDrZpOsL74y5KUoL95FbcvNYg8Ugg5d3hj0T1Yu4RvZIpeGqby0u
POxB6uuitRqKPC0dvNSslKI3s/QBLCfVBBVmyBoOsMbB64bOKV9o2GSP0w2xFa2coDROStmLx7Lo
9bwxaFO1zz6Lb0yyZVVZUB8Zu52u1N+07lIEh65TfANZjtJNFLjgmCjTd7vT2cWMCniTJ63zGVvW
+EgHKwYPYHX0+w1jU2LZh26KhjHQ55IP9VOhynzfc+NgCSQxpnE5bXCgkS+QT7GOuqemqbOIgpEg
AZoyO9Wd5dJWgt1GjU/90FEvUDfxbWaptN2FUxccYgSfvU1py3MajZ5c7Lf4Zult1qPNTV3P33RX
9+3JtQbLWGP1MKydhoQoDqxN0jepek06paJmDZolJegr2eIWZkEGMaUwTfNBNX1K8ZfvTkAQnJQj
nV0vNTPd5NHnHUy+Ir/CEgEI3jC+pJRrXKQJbRqrJGhDvaWRpqh5w04YZ8H7DsGK6F9p71EssNGx
FLHrLSsXlBgTFOPeSQN9oQqHLawa/McMViJlAjH/qlGqolgHfTHfABazczQcTl9NiuyQNK4Nr3Xu
zmNvxu0+Jy+Pxmn55Qt6dHb2PFAwG6tq3Q/srx4oRy54AD3tDsIEhgkWQSCmWzolt0FZuS9BlFo+
ZD9AG+tKG1HNblaTRbFrkaPSiJa91dilkFhivTMrE9Fz4EiasFJ10Z0DbBRjVpxCcRuS5htZRv/d
7X2Hy2CP6cc0+MvTYaLcvfK/aUpDAJXYA8bvznLePJm4JkyAiIaKIh9yBjFstNcN8jQERG6Wp7Z3
YCfNwH7Snd3W+hkAmnrHn0VdYO5N8AlangPpTmSztg/wZyZc06652I3M3ibs7SINn9E9B7mmP4de
CQCczASji7NqjfoSmdskA91IcB/nG6lXgtGiFvjsAp/DfFWFPh9z/F8TlU1mkHEK84Z9qxwjecuM
2oBIGsT559RokHhBZF+UfMJhBFC0+9G6bnXleXBnR9Ocn+JAs6jCkOB8tLpIr/3Jc53zOLtJexXp
qn8FpsK2snTwJJpVQMFOGj3yjqKmmlaQLWm9mcZFaU4vmZ5y3GK+OZD1bRyP1WEk9kgPJSgzr/9I
WwfsNBCb9QSpcFvG40IzSS2tzkVn9e5FlLvzPQ8bWVCa44dvfmr4VwJ2PP+A17QnFdXZc8JoQnNV
53vk8fMC/rA56quM3P93/HukrP20BuPRkARnS+5FFyZk0M/ObgL2vU0iaGG3eDo+wSfFNKFNQAk7
3asJ2kbZ8jEbHEnWrVu07EtSlt3BCyv54Ic44jagYRf2DJ8UR6mu3Kq0is+2TF4jaFIHG1veqhO1
fstJn98T+XfWAlQnOrE07lF0uCIMVFH364GaEgSTIBdbPc39G65T2z0ko13eBJkh4NvNU3+0yk5S
BtTMz10OEWNrVQPASAwh5aEFAp/cm04x4mInFfDUKBfnsY79fEcBgn3MRpC0KzgDNY8jyHufrPW9
6wqa8St9L8WNQI1ldh71Ux6NfnKDF476Jzyocpkbh/I1zYvxUObE/dZ6qJNPV7vxOk5Q4LawWQJk
uD4fvIfI0D0zeSKKjSyK5hWjNo68Tqk2pq4z0kS4CqbXZAwlk3AFnyPvG/xJsp+wMVFbdqPbfja3
XhJyq/M7aIIrx7Dcb4r9GAc35UgmHq2dKAKgmkE43LNOGc/CEPhWNTa2qsDgXlt+v61DgHZh1ukX
NalhMYBWJNhIalL+snwOybnlXnkh8f5ed417p3OSU7bbfKsioBNhVJGyTDva+BIZnhO7hRQ+Kudz
jFMW9XHgg+6uMWr09bRxpgRdl2qssPG+5Ji8d5Fj0EafQ1RhPYYTSiX0nEnEzm9dllC0XbGzYNMj
VUCereJudWSfR1YUVFJaHwExc8vBdVE5a5vgF5lrJnD4Kh71Brux9dtxNcb+J/AKiDLC6qwnMAAG
tg6zS+RhyHJ/vJp5+3yG0MYqXN+MOk6cAxLCK1uBbEknbvdQpbMoNbaiZ/en47w/67HDv8sHQqEo
Jumx6nIQ1UjKd5m08p3sw5zKtCD7KPxEfPfptXrJfVtRnjKpd6OxISvOrpPAx0srosn0L155buUi
zA0E4ulQhQFttmXmXkxpZRiPTpzglguHPqnWfkanAbz0pJ+vGvgFYlvwhiHZy32GgoOwowSMtcR4
rBPDvmqsfk4QbunqoelC28+C1Vd6DGZbfcHfECv8vLBRHTDJx6JQ2M54IvTezh5N/3qegWaugFrC
xZzr4MLsxDTBGdLxO6109glcKLiAsI+79xpeJYNKUE2vpvC6dDORXQrWEA+5BuqIpdG+dHE/rjpT
M4dSDMiedZLhyNW2Sy8tFon2ivQ59y8xuqesaMN1LSofAKsr1BND1JysssASH6qZ2mdddfEpL6SP
o1XQ74d7EH5K1AYAVPKgNf83e2fS3LjRbun/0ntUAAkgASy6F5wpkprnDUIqqTDPY+LX3wdlX7ck
2+X2ojvujegIL77PVTIpgkhknvec52jgT2wfCiukuIvOoX6ceL7drkqphdPKwPsvj30QZXu89Pie
OhY7rJS4bdi6OFXKY1Xn9USaTSc75TZdYuF0MUCl8mpA3MbPx5gahSAq9jNx6DEeQObvqDmvrvq4
DApmkKJWa1LkbArwz6joogZKe8LXWZM9x/n6gqJTXQEykdd+g8EMejnc+kVAu1HJWin4nvQ2ltTE
TDt90zfxqnYHH9kjxOGosTG9sgN7OAC6FsCTQwPkGcu4fZ8M7IpZMkJVbiNq8zA9hpabPQR2XLyL
OhPRddLOtWLBMO+OYgxQ+HK6Nn1ho+Bfq35UUJTKstEXIF/IPXHiCLI18j5DKlXFAitlb6mWiXLY
3ie+ZRBO4hl90RXKP+Rd36+5Ber3jCn3NZ1YYbMySi+9Cuk+vhOV7t0LAvJbQW3Ze2f2+p3S3AEK
qa094cgi3O1X8XQ1FDHnbN1gu2BVLUHUzG3iLXAt2jiGTHf3eh6oB9xQEL07njEPUHLKdmUlFkyu
INXjhJQBDXtsmmmmpt64LVN2ynpi7XUtZRfT4G2taXRxaQpwgMID2gvNfUT8Nd1U2MuweIY83RY0
alXEyMwwiM7oQEoOdmepat9ZxHoAGKXISZ3HDLjP++x7Q3MjhrmhY+JHiC+gzkqFdKSFw1gb2O+L
CMuQqhkIRZhse9asGCnKngbiJgsjLzzthckNLayETQFmelNqx/uQBFs7IjFx3FlZdEy6j9U4GC70
WPYlW9qjBWiuZCSuCDuiI7mMgK8g9W6ASJRYwlJnHQiLvruREN/e5H7iizlpbnYMZQuArjOt3pyn
d2xYzcJxie7btzrPm+kMeqp/lXjsCegWYdJAWJbskTjCH9f8mVtAHV9G0H+N1qtLsD9Z33NSSWHp
qIhGnKqqTuEEqe+iLEiTr4RRZpi8YzNH1mJIEV64g9PJC8n4Y9jFDYAIJq35VesklXak5TMubxUg
Q/oyqBwzKU6ZwmhvQzaKH6OgrLOdXftKwep3VfOcTUp/8aI4geqryBQ+JzLAHumMGILZJLUm3WgY
qPDHMnpq2GbWYxUtDaEY64C3E/qzKfuGrrSWaMOy8kux8iNbeXhkC/I0iWt0ZxAjKLITDAp3eAGT
bYtjGtWR4p2bMG+zbK8iGeubsC6pMMutLohPhUX8YUkQpGgRaUWzqbQQhHkbQB5RmenhNqiLsduU
scuzC0Mnmh8towrqedQKAtY8GbJkrRGgaJ7GhO02YD2VnaiBJfsMX97GOIzw65ZnuU6Pyc4n10k/
sZ054T0PKXBa1jjTozt9YPg1MO62UOaaPruDe2rFrwb3cHEVdK1a5bKMYBegknG0a2QPadDznmI2
d9gVVQsusuHXoWm3jtS0MwLX6Q9E/SdCA77tWIsJg/fGESTwCcbU2iHKkicvxnEHCrUMLsOk5Jlo
+eWzZo5MHlN9oq4sgJ5cIbRiRYVLk3oD/oLJ7OMtyElyBHAWqoNomTfyjdL8H1PEXg9sNTWKKySG
Ply0aai+A601TQQ6A7NbovfNGQ6V7gbOKOkdGZCbE7bK9r1ZaRZu9vS6CwgYwO9rkgOVKvTsIJWQ
dYSlYctloAX9a+O4pNgN3dXnJmTS9oT3OddASYUUuWx6FdwDlw+4Hu4U26RLAuNCSUBfJ0/PKUnj
p0G8WrSgaCsSQl5OwUw4GkuSaON2ZOr/VrH0R+uxEs1dYzDKhyde1i8Z7vy9RlXWMqUMlBxOSvcx
XgED2zrhr3Q1ZTYKYRqY1wDKrG1UxhnVlEqfXk2Dj0MOsj7wvWxv+eS9neWRkCC06hjFGovEvgSK
9BI0aJYUBbYPqKZtvDViA7S+aTh7jIGKTnfXSJ8Cuu8wH8OAmQG6hp7ha7ZLLCFVrKXnXteRLYNg
k3kbjV/sngGjd3DlBBhmTKi8pRQF/8eq5LC/amraNlatHVErO0WxDkgPdZ8Vu/Lk+v+tuvkpHv9f
JA9PPJ1Ryt/n4Y8vSRO+vA3v7+VH6XKOtfNzv0uX1jdDzIN2R5oGIyMPGfL3KLwgJG/gubNYUk3v
o3ZpGN8cHX0SqRPriIew+Yd2iRIqZ13TxI+HsMp48N9ol18yodKjY84BHKkbUgomjrPf8OM4zy4G
P6xN2OlyoNIk48lGufYxyOpnuIFYSBx9hQiTL+K62/o8czDJ6veEfvVj0fSP5hA/dSWqWT3NEfa+
27VVexlzk0EmNaIVYkgEHLixlrWdPrbuzDbykkfgKiuvV2cm0i12krmwAr61GOKLD1fjLxKvn2eV
P3851yTtqsMRol9vVqE//nIIKSHYVSrKxyxeGSD6Ev8HvJ5LJpzLf/dKFlfSlkD/DP6ZB7SfXynQ
agMBM7NWjYHTDFQIlTZH1RbswoLVr1/KxHP5SW0mFIuHArVbMum1fk56P/5WuGeGTMN6wGOj/+5w
qCOBnD+0EElB9hh7vy8ClrAegayis8zp6ZjRpQVSj9q1rY+JcYfXfGtFzhN/6zbPs5Nmi2ll2/Vj
oA0HqpBfaJy07JI2TFm81mOmYChhvaSF+6isACcDmIKNb+r4e7pmb7Kic9KE82NRArIKffUi++mp
qqJns3I4GSRMaX/9GRjzlfs08cSmyqDTFlJSZ4j+/vnz5qkX9oomkFXhutsQsdbIRkrDQ/CNOCK9
4pEd/ouGSQ+EGFAzxk9Wn72lmG9+/UZ+vtDnN+IYZItNBuGWcF3jyxtRIQp6FuCFTlvUfkC72J80
59ENGgwyRvo9RU5kP4pFMT3U3XRb2OoKIc7Z4lNLaXkSV2ZHXSvhptGutvirXqY4eM6UsWEbev0P
b3ael398sw7DahYhkna648xzlM+fWg4DX0vaMVwjpWF3xz/v6MOt1es3lSZP+DBvm67Yx57cQa6j
Z1m/10J6fjsLjATm2noid2wgzGF7X04pCosk/F/W1uLX7/NPV5f36THRJo3BrQRFZL4DPngM7KBy
KHR0tFUfpTelS/s2riOGJsN4MVC92vgNoIl4gA8kWzbh9fTMtpkqKUYcbGV+/Wa+ehC+vBf3iwdB
l6WRpk7qr3wKukYaJzkOg0w2ObyLbfOPL/dzTfpyjTy8GsynuFKO+BpUd0w/cSfIByuaIWHEUxmG
fFivumzgW2HdGEFKUZSixbtHMFpWmRNdypDaIz18dhQpkTiG7RAMWYqskT/OPMag8TawBG8naKcH
uALUz/jeSMY3uvIyNoAtgEUmJ0fcYPQXSXyplLUBjAaCSUmVsWb4enA9DxMYKjnj4urI+StgmoBd
tPQAY7UujPbCxgxrZ8xUBOV969acLn99IT4v5pjD+VJIgdOcZxU9WTz3Pn0plKnT6t5yIbAxrycr
AP94PsbuKslOv34h8efbhGEeSgIOMV6IqtLPr2RPSPa5zz1txg400OQ9t42fYg3gJs/s8DeHD/E4
3FjVtG87dW0q8eS72Wyt859r311CdXwL6C/O9WRXpxi42/o0Fun21+/T+vNX8/P7ZGfx8TbRfc/h
FFolJPCQrIxhgzUmXjLpf/R5QKOf99Dlyz4iaBY2Cwhzp3oE6emW1BZO8EcLhhAMvBptPY6VucNq
1p/qps4omRiSHWEQfxtU0jqbMLbedwPk37Jqz/sC+oVVdnArW9D32nwOzj1eWOo9NupJpQiNllho
A7WZGsXgaxA5Ha7G4oEZyIsflmz6y0E9U/lxL7DcrSZ2Dj8yTMDYYgPGVF0VHHJZTJskTO9//Zn9
+UvEbof0HVsrYgs8QT5/ZEnrsd0wc28V2D6IDzpU2n4Zmc6WY+fm1y9l/NVrsedwTJvhM8iN2Uf0
YRUbY73qGrPwVr2YzLOOyRqcEvNQ1pxgIDJYC/qTGGCqUxP8CBwiRoXZAO/0eMAObVGvJmVILopd
Xxqe+oc3N7/251XGYZLOXUukg7vp67YvjXsDGS/xV3GWnqlg49jaYaru/uET+LpTmUFOusci5vAa
hpjH9h8/gVokqN4yDTBih3OvzLhTcKlXvg1tKAqpjWu66yEoy5e0su+YcF3Z1AVghCcNaOUdGNys
xO8T5WunGS+xeIfHVGtJJPmO9Q8bir96p5JyZnv+WqCtfVlc0Eb8lMovf+UybhrjiJQGU2tyiiHx
JtiiMnQ2uu4fXGL1v/6QZm/WpysBNEiQzJCOzVMZy+fnz4i4fjsVQeGjJDt4lJAsYAVmXoHrSlwD
dFtGWfUPL2n81WtKA4yWhaOCBe7LdfEyRXlPYkPUqfxtJkDBiagc8Qo55kpEbO2z7nuY9HfgzV/i
SL6ISTAg0V5bvCnLEOH/3B3zHzE5B6NwllF8++uPxPrTAuwKNtMY/liE5+rq+f1/vHO0ykDmaTXw
gt0Kq/HWt/2NH3O7gI6DvplMgLD4Eg2jINwannWTfG6KmmpN6T/VgAsWJEqvxdD/iHEdZDT8BH1R
AZ2PLkFVbUvCoQu7IJtaFt8lz1tai4NNj6MaFH6ynUprOIsTs1pkcA7U2FWbxG7eVabfdsp6ghu7
wry06etkYwVgsXoTtv+vPwFn3jZ++la4s6UFLwndGxJI2ZdtZR6RKHaNEOGnd25FZl9hAdg5OTP2
shxTUAVtvW7s8FTSXb00fP5NAZIaW1OzboPmuq2Hawt83lLXQM5EiQUVsOYB7+gLN9MfHfADq8wj
hWGY9TFoMPV5isW7GoJNPUhjhuPQVmINqEAMNiG/Qx91b3rTezJEdELrWSUpKIaYp0GMK3DQQTtM
3fQWzuGiTlTndRetet4o6sVFmo7HMY6PSUo0hxz2S9+2K800A+a0w7Zt5anQkm3FGWQ9Uh2AJEsH
jZWTzhnNal1odLVSkUBkNRtXykjGTch01xzpceCPCJyW3+kQuShS2qS9ddS+/8Ol+NOVmL2z3Joc
7eb43JeVoZO5nzuVyX5MLCuKk5xdX+wqhGOouD9faRY2vnLq/vBx/ZaR++P//i8mgPzz1fn839X5
ZczGZjEfhv9eQ7mto7KrXz7pJ3/82G8SiiewNs+qh/5TJvlg//KMb5zuYQxK7hceMR+ii8L6Ztuc
DnnAuVAyTPG/JRSBi1qAmcAq7Qp0RPyy/8IQbckvNytCpCnZTOgWGgrzo69bdoob6G21AFLQXQwT
LGnnzY+7y3o24VQbP7oSclg/hunSpt5nO1FsNQrxwGnsMXNS/dqv5ulyNby1KnIWSZt163aU3Uqj
exaMYJXfJKXeHCjpIdhH4mU19UQfKK69kqWWrAbRg2xoiHgFQXnulGC8m0jNeVv7sfDKaiPZoxaW
/k485tJQOUWmgU3vrBejHCfamxWY5wxGBEuiVj2HRUUCQ/bjrlVKLvgMfV416J+jJt1pU3GkJGsW
fweE2UwGlwFi5yoStrbWK3CnhkktaEme9AAudjorNaJEIeI6hwrH4gynp+oegtOtHiUvdMs/QrVK
sWsx8jpppCbWgFJ8cNU4hcJO4U8WVnedKUTpOrGOpTTGvUgQciZfFSsghwxCKyCKHiwnhT8sto3u
Bx6v83kUA6vDdK7QUXCyluE6rJpkqxo7g2Zc0QuKNLzUUJ9xugXaTlq1cxY24LNrdv9sjT1nD5C7
PNMBUb22Uj3XSOeMWiZkhgGnHNl2/hfWstdOetrJl72+9wbQKRFMBiKFtnWakrrbcCR6j4122Gpe
5VzUOs0pc+pz0SH9khEvIII51BokYQ4txMM3UmWjuHab6a0sfcpHk7G6GFARHs1CPTIwDvFjMOVp
vBgUfKMfrSrp8BZTNz9hZVsmffojyt1k5/yszqG1Vvb89alNVQiC2QGykelnhSP5ApC53+llHR4i
J72NOMs7bROfuTosJfrOEQP8ulklDkzkBnPMCShLej20IaVMWU/9ZuKZ8F5m7ae07hwTK7ETaPap
i6sHvq/e+6jnLUndPDufBNvZrKWOqC+bW1+jW0iNa1mMGU625j6erGTV64Thm9zEkqtZT2k+6rsY
6gcQXiI4LZNaGZvNJmMEfa/PFgg2EGyPvNtpjC9zEwclgQl72YeWXDBjMcmx97pHj3ET+KeYPr16
m00tzDk/ijqoTKiAlqQ8y7A1DV5BkhLkEkByLPJIWWQQHOA7eBG0TX/mA23ekdvBXh6GLGdeswUF
c+po1aXaN63NA/GE+LqJLXcrSqFocW3ujaAZb8CCBmcDSY+d0aIJtpa8M/RYbJOoz+7TGNsDl6pf
D7bqW4YQLYimTmMHU9A15ieiOuLVC84mNUhsCD1H1YWBNXLV+cRryzpfBQWaBAgw71xS7XWFnw+0
EFjK9Th0IMkayZTVNS/02qedzgesIb0huhoMqp1V6XYXejxlBIbl9J3Z9C5qMVDLwSl2rh6zzaYV
4gqHCq4nbeYeUQ6zaYFpLcFaOcteBtTRtHMOVtJqv6PwO2cqmeLQV5ouV96gdQ+q8eRdF3TOrnKV
/0DBsw8C0WH42uvxNrLoIo6dilQzJrY7LyqrY1BgzcN5MonrdDK0cy+rcSwATn4gyPGAVw+cnlQL
usLzXcmhgCOoeO9Lo7+O6BBdaVHTTAuzlw7E+mICT6ktHLyvryAghvcej9qFU5rDmackjVxU8yyZ
ikE7cVKo4FPw4Fppea7V7sHX4HzgimgDuny9PNPx4uIfoasFy6AvuHMjM14BtsCe2ofOgQF4fDlM
fnn0jTa+CAnPQC3pjrjV+m1mtdVDrnd44smVn7fQUyEw42HtIiK5GW4uKjWm+K4H0LWBEztd++F0
NcL1ol4MrA1FTqQx4u6K55C272D5b5BGg1d6a5gGptotdJu5vnRu3RB5e1EkxG5dl2YNM2cDnYsI
S2+YXGPUL67sGNxhRjPQAslaQ84nj2eOrr9SEzlYvrtIyJoN1ajVKptJrJtt9Tqpj6PWUoYOwmzh
ZySle8dkFY7sd4OKoJUnUwPDk3eVYZmMoLxhpyJJaXkNtiS9NNdEzbFDEvNf/+y2hiDCNDP373Wr
4Kk4vwfs0pDMowG+XOuJB7fnbk45OeGtmbxTklAMusQtbDV4M4LhVQuw/80byPpWlO4Pu4lPzMXn
9MDOxbe7Rl286BmtwDtKQPuQliObMGC/7N0ExLQWXzujUZ4QWOL70nPluoLnuAbxfo9fesuAMwXt
atX5Umre0zSxI6288q0Y+ULJJr3tq8RZxqMaVnmqn089YVBm5UuedvFd09Zi32maR/8VV5ocgr8x
+4AO0YylBwXiLRfTa+cUzz2RWD7UCdBmikOIYy7ymZ3k0RlCyGUUVvXJJSC5CExxFRlM+hWAvGWR
94IpZ8NseCKGbXEO2zV9Ut8yFW2pbg0InLYtDr+xeNE1ViHm2Ctf+GvZ2q+KPBRz5beMqOmSvE+O
+mG//V/ZyP5t0O+/63ZXECng+P73e92Lt4h54cet7u8/8ts+13W+Mc9D+SVB8J8Dwd9Gha7xzSK+
Z9mGblG68JOn/Z+5P/HNRjZAyHF0iw23jQz1e8zBcL65jEYYMHoG5FNmj/9mn8u588tRSDKnZIQp
53EalpeZIPLxWB71sqLpBxovxJxKWxYYszhzjpp+Cp06XJPcphWuNPy1B1GYxqQ08480pqUbtJXq
QJ+SsaaZgiq9ni5ZrFclJGEhWgeDLMJHvaUgDZ3UiCAueQXJ24AV2gCsNNRnTMerR5ablNNlQSmM
mYb0Jcf1rst6tjRNF+4qEv0XPFOsdsFsvfdWtmmxjcwIEGFBVha+ZYHDP98LN7UOEUMhyqxKq1n7
uC1PQ1wnFUFiFA6mMqP2TtAJaLE7GN4rxnR3qeuDeyrsODoroNywQ0rYC7M7lg8wI8W4NvAu0r5W
OqAm6qjuwUbAhV31WP/v4zZ9GiY9OkV1dOtTqre0g6zf27GsX7BAhgdLVOG1X7fyRk5WetIjNglj
r81wP4whEVGpfa80jSGWTka6poajyKe1x0e3NoI4xI5C2kGnSPS6zkEs4Uc+ucWYHkTQRuj/IJKC
kpiZLKJrfKdUgBhlOruc1fM4FWzQbZJvZLE1qukjyRZygSnGPEsolZyWjW5iymu6MuTxksLo02Z2
EkksjaRVmhq4uMpxQC0jhujeGcGkX0oF5tzr09Tbz1bJZqHjk75IzDmARW9e81I44VDtByBZB2oe
Rb3QmUNfFG5WMNipXOpWsxq6yGFg+GKSuC9Da8HxgKAfhinvsmE1NZeydSx3kyvS281IRh2yVkYW
3HdpHeTpQKYcbRtBC1zuecDu7jzqtfhZ6zux8Zsh3+axVsy/Up/yZPTcu7Jt7LXduuMxabL+ojWc
lEvp/fSjja7dLsRQ9zfuXLbFA9QUDx1Y0vuiNGroUENtXOFlxlQlmDSuMEgVu46uxV3mWQPz7a5X
D61Oprqyo/iqgZC5NjWa29dxpLD+DfxKtC6kmEVs5ir+kiLe6Dp0OneHK4vKxyQYN7AQs3TpJ7MA
UTrFKRVpi7J1g7WKufzQk5kP74sBe0iRqP68a/mMjcaJn0ayNJd2gffNtsJq4db5RTsa56ZSFMx2
43SVVKnJ/l7jIwNRsqRjuzp5PJCzbWrbLXe1GkP6MmocAYqgU0zVtaindefF9cRDb7RXFqyAd8xB
TyQt6mNcmflpwHhNreEQ85yenGrXNZl1LMA+nuXA37G+Qxm7iBv4CZCz/PxAQ3wN6GMwaOyr9ci5
op2FjXRShy0IxdQ5NZ5RP47CYl9k1CU7VIdczMEu/W7cD65oun1eBTJak1pw1bOlc5FuGhe2Q8MG
/Q2HUyGDJc4kWR5xUNHJwryWLdiDFjDF3YfxnIahK43DeGFaCUXi0ve9Y15U8JZtZUZciiLxFkPn
4F+MaN8yl7rRq7sQY8XK7trswRCjlZ3hOKxwgSZJvKQIqos31NcKY8ESrSdrx+7Shygah23n1ZD2
WOzvu8objobZNufaoOd3aW3b7jIQEtu9m476mwO5e9vADDkBA0k2tAvTsdzGhCVzNZmUeo3qNW98
4ymt0dycurV3I3cRK2xJ31/clvQ9C2pHMH7ZkPRTqyregr4tyL5K/z3WGrVLSP681cPYr3Oh8x82
fFAD4JupbsY0ZdrNbaQZlkuldOMGyzaEbXGtmsrp2bQ0I83YMK+JHcemsWrzGlU0ivHj73wxb5Gz
jnnkKc+cUuyzzoToYYsIsJmRBNNt3FmCKtUQ5zL+d9LkqL5WLbdzQ26/dBsvOY0oEzxeAK+WRsjZ
b+qYnojSL7bKKyYIvzOZLg0u0iZLj/jP4Xdb48hsygo4DfDgWWRDU56BgyRx0Xly2KpxzE4B1aJ3
dlQFx5ZEd7iYLFE+dzW/DoQ+bolFMwCjXjldZR4CDU/1BjsD9mqQpc5sTs8HSqCiTH3X8cXTb5Yo
7xWMO1XdJeV9VM84MC1w7+o5HVsOEY21nims3ADpLLVIQIlfNxQCcwQA0R8efJDpGGC7LiDKxQIf
XTiFXh+GDED9PkaV3g+lsIZTahXDzrTppTUaLTsU8Eh2g08Oko7McVzibcdlM4QtO9yu3TRprb9U
7XRt9ZwFwbz63Y0+JhYFhhoIR6a/NRmPDHYdXv8pkS91oPR0BTZfPtSd3XlLS5ZxsEvaqQ/XXSUn
DtjAkibW7Lhd6mpQ74Hh6XdEZ4ab1gvovCp61d5IU/cOFfcwB3phXRtNZT1ojZcdWLCts4b8AKVH
dQB5UJ0mL7WwxGLZRXAiJedNZ6Llhl1AhpnesrSwEEzM2YYspkba51GYNdoy41IS26uyWm0gymn5
1kot8wcbJ5K/JVZbdWUGenhnhyb9yR2brkNioFltI7Mw7+IxZr3jANCWZ1UxC+p1VrUXGnFy4J69
8B7K1Mt2Rh7TbpjA6DR3tmb0PoMQHwO9pOTKWsBjgpnYJA0XOrLiOLsg5Rm2a7dv0qeZW3tRxxrt
ehhlZM9IXeXsIWgIA7mUdk8VpdkXnZi0VcEpBxgIutxNAzzvxcVJJpZ21zjRmhglC42ehXAWU0GR
rUit7ILfujrzQ01vdrLUh3GZhF3z3lBGaK6yYAhcyKue5ewK1eZ0eXWmg1jBOJZmLD1kwZYcrxt4
XdlwcjiiTRwrWslRwzbKN4P5TEI6vS/OmrAyKXUdqu/oqOmO4JbzvbPmdIM7gnZdtgK1g2wiRMwS
7O1M29WDJ5s57tHW4/5Bi1KyjbrifNYbxZ07oPNDXMO0uXbwqByyuonXcdbH3SrM8jdMNj6PMr9+
nIhW7usq4Zr3nezOx6TElw88ha5URDHWlJjDUio5Xm1ywhmXcTRN3PK0CRmL1IxxPDIw6p6oCKoR
fDiQGxRvieFRhRkVp0lCMmytQTQ6aJYb3HXApN473Mrc0v2QEtvoislYRlPOVw+LT7Wa2rok5CKA
0i+qxpJkHUzpcbAiWd93nX/fV/QtViZ5wloiAZckh4CQqWk9qXDLhnSX6NB1qbiO842lML3BHpbo
PiM+HNMdCiz21FjrjcMSiIO3eRgiL1lbATZ0nvusJwnfyrOAwvFdG6TlseiD4bai/HWZknBbgf0b
nzzaRNIl+djqNcBAGtEdFZrfqdZeDv6sKRXTE+a99z7ya3QfPdg1vuiNhavkhOdfuYQnCYoUW9qH
iYIl9DFulQqxrmvYZx8xy476Q1gVGviB0bQvUVrc/RQRLl2bdUqPSYDj30DHZAbEQpsnr/TBYcya
WCBWGAiIjko0GTQjhOldzeNi2fIM2I9QZ68LLxru/XasFjZe5GHbxOwyNZoEe87GGhk5kjY7rcnc
cVHnOYCtXHjDLSLmHEKteNOmk2Sv2LXqR8HIy16hUmrvNZkudp1C8t8e3fqKFUgXy043qeBMkqK5
1MvBO1q6EWgraIDeJQjX+gYPCgQfXyakvwaVV88SkDiotTJGj2GDpp5cdyy/d4HD3eG0eeUduPHY
GEZ5CNFAds2tbfTmEeuUuMxGo7kDgg1ayyw7sjJmIBXP2UAhWEaat7VEMe749gwMK0O9e7OQ46Jd
MUXegREpXTJ6QdQWD+bgQiJSJnXdcUMXg5i5uGmagUjWGicgZSQkbKEhrxZpl3IBW9rAAcPmmvEC
K707M+QQnAaRzSUW7rwF6yEjL8nbiJrNgYmriT0howVPNUfl4+pcVL0qtcUkfMTUMLeydxaJ+CUe
BueUIhOazEerfM1nptM340Yk7VojBFdG0MNfGX5x38i4P3CzWssoGrRlX5rGGaW4wHFhtqP0dcOa
VRVmrAMjkiomGnsXBlpvSGOxCu7iIPXeAq/k1q5DmbyOnR0f69L2aKCNXATkvqmNV7OLgBrqUI8j
LRGbEtYq4cW8xHoyHsgqMCWYknjtmWF6YcZTfokAPpe6aTjKvSZlYSkLGFqYX0gXadWLh1TJqKWz
nyNQva9jWjHKKV0VnJRHlJuIFEOYMQ1uusxIHoWf6TfREHD+c3iGnFMf4A9bYeSkGqQjaPzkxiLq
1Oo2InBU12DZA3s9ZqQHSPfuqN5US4rglTnhwQ/5va8w7SL0WKVJ27zjOQcV5NQXEoBL75vQDHfj
xOaCUUU6hUvoweGbNEs2iyRt15XtZNu8NqeA2UMeYkn3uks5QzVSLsCtZ/fpDesFWiuFzTDhBrxN
/axutwMPXEWW81YMsM+4oD7HrycnZrUdPSu4gejyDw6Rrw4mzCc4kBlxezo+ETnjRT8qCq7JB2uW
7cR4x4ivQAm251Y4ExlzwzmLsMFtjZnq+UFzufxtiv6xB+er+wErtk4hJ7N1wELCML84LkRkFJPv
JOOWGrr0yC6jvWSMj+FCj8PbcmJmw5GMXpphqP5hlvzVETS/MrIJc2TsbDTwfHEflbY9OGkG67Ry
UaEX1Fn3i7GQ2gFGXzKRwfDz/y/Fvc8oeHWryvf/+T9e3rKIfjYU1eh7+1FXQwgjhmOhYP29Grd6
yV7yn2AuegL/+od/t/AzL56vGmZAPDoQcvma/qbLOfo3RpkfUF3WH/gRqFv8iYOJldm0IVyP9/K7
LscfkVTEg4ZKL43ZHfZvdDlvlt0+ekVsNoNYeg3+sQwWklm2++CWKWutYq0zrDUBrR+dQ6i1trel
9G5jnzVBR3VLKXNe9IzdokBclZN8cuqA4+dzSJIMrG5wYN5wn3RyW0b2xtC0dQyooj5rCfyPTooC
35/CQb+vhLlN2mBTTvY2prJdL5dFCEAoLQ9GDZOcXs+Bn63yY4oyZ1XpPpHmlaztc1sCcKisK8s3
ztlNCxm8jkG4UaW3dtPqxtXKm2n015yACAIT0810SuBep/RGzQpJNm3t+YjJ2ccp3X0XZEejtM5z
a7wvTQt+bH6JmWZdKrWl+ZvHZLuCHnGLE9Fl7GXdNjLY1YQLMp9TjxN6GQymejcR7OW4n161gbMz
SwSkyO6f29q71d36Mbb4yALd2pq+3NN9sMan9V1rTdIM2dEC2/rhm/cXa9JPn/ifLiL8Y2BvfM+E
yxfp40XEuyw4VcHgwxS4CnK5yJzsGAzVha3UhVNrtKSGTHcnZ61h6e25Mr9+A38yk85cN3x6On56
zLUcHz+/gajy3AIQo7/WOF+X8JDcrt7QeGAsemXbzKcFoMhEbjuf8Fg13fd5ZB5txqdwT4FhOIt3
Zbb1ZpK1XDJy4WRFnczaLyZqxZBpqyRZShDBex3dJqMCcGnZhEa3+aA8HNz4GdwhXcPXpIk8JfhV
+NQDe+ahGilODR1fX7Pv/q4GnyQqglWnR9uJ2PqSe+/BrMQBh8HJjbtDXoXVWQGs4vDz8/lX5pz/
s4HF3/6t/4IJJ0Em6Zdr5GX3htXvva7VxwXy9x/7fWoBCJxqtXk+YbNBJq/0x+pof8NqO5saf1vl
5j/5fWphQCO3BEugMHDMuMJiUfvPqQVrKmBDRilzktIGJfKvVscvi6Nkg+wyVWHnzrcahePz19ou
PaV3ZVdx1LOffGpfGpeTVMBMmsQwUhLkHzogPOeIleP7r2+pPz3tv7z0l1taxJA7Er2p1p5FA0oQ
Nv/B3pnsxo6kWfqJmOA8bJ0+u+SDZmlDSFe6nAfjaMan74/RUajIRGVl5aKBbqADsQhEhK5LLqfZ
P5zznRxkw7xv8uhrEpih//tXM5ef5K8nyCKzNaxlMICbxzYXvdNfT5AsGmHp2KSwjBm5PLGIwK8w
Q19L38y3qmve9DjLdvymxaYoBn8TeCPkpEZ3yJIb3sCdipU9xy8Ey1xV7907mWRhC5yu16NXsTAL
cgFDIq2zk0Emwr86//6Lbx9JNhlXXNqOyQfqH0pBPPKd547C3jh5j9TRsjIiith10IHYS/s5O5jE
FEEvrBGuwZClj3bkXEw23+uR8MqVPog38A5xmPn6u2ZXd4ll75iWfsXeAp8p0wPWNFr5if/XLCcw
xgvRNZ78nVsn2B18/OWxMPUnrdLtlkigdk8Y01qN8cqbb6rWw4ysm9FJHmwn28dq+uqQM+ZTwka7
XMtohHqX5jc4Dw9NofAGfKsFl06C0odM5bzzFJBxxgvefQ0vgcTBJj8E/jAccGQAkuqWgDefH0YS
4mG3hrUzCzN+cnP9VmkFi5aAV7bEWNyZsVSfWdl7u5rIVVx3Pf0Eoa4rW1R0LahJ2zVitPSiWg8D
XzGJve7lNAMeUyuSQ4OjDb39zvepOO0g667TGNkgYbvq2He1/2FBkoAfm9YXH4g2XfyypmMd8cEk
FzTOlJhfjTMT4z70+nE0TpOZTOdJn5ewB7/rtpmV11sApfOxGngJ3Z1D0vSMrVZ5zXeaZt9pDIpi
Yl4JYVxMW/R2Nw08GTu6BCJK8Q6Z9yhAP8ejS5PHr8bpVLs3Or6gySJmnWWUrSmjxT1zqo0c6iev
4Pf9Lx6nf6yqKKSYNrsWqiG6Zm/hqf71cQri2hBNr4zNUBQV+YSEi1Uh/gduYXBuYNQ4up7S1JR3
czJoH0nkLIswXzB1T8FVUjY+S3MEIMBmYxoG/0dWvnq0cr3YdYTJhi6U/IfEqvNX8kAGZnCR/vvf
v7L+B3rSf3pf/b+6hqdQX1SnHMf/vPa/T+caS/dfL7X//LI/VafW3zBvgCr3uYoW68L/LvkRozJG
oeJmPPknTfc/LjUkp/bSDPAX6XT4TDiC/6PkN/6GnB01qo5HkK913X/nUvvHatF30AjABXb5YBoI
YI1/aCSZJ80Vo+xxX42U0yhGmt3kiHLXZmz12i44pNH4nrEXguoz/MBJiBZ0uPUvrhweyb+/c/74
PkzuHQeJooVc/x9uV2CcWm3U0ch+EnVo7xlb28rJv6YZuEtYa4u9cGGApuch5cRVDnY5c9HjJaRv
itZ6GoR37sw9GsA5PRPWeLIy2YSpT9xxBOtncr1Tg4N2heASXk9/IyR2Z0QdE8KGQEh9eIZNvtBZ
NzKq6BO6K5Cuy5RHR5NBGwNOFr3lq13GF5AfJerQ/GlIyfbu4P9hgKiZwg+LyXUEKK/HLTh6Xmg9
+LOyASu9dV3zZCmJa1jts9i6TrDjWFHl5HYD+7Cs/i1xwSPExOhucWKtagnepiqNrcMgSpnI2kGB
Cdg+/quWzw9cv4/C7Y5dLPcYSo8k6IYA11eQDh+ldN59wFkrJfMzpg3wRPFI92XX/h5k1yuEnXPr
z0dXOj91kqLQ+9A6/dmLeXku69ZpH9yIxLW+3hhSW0+crCumpjHHjBkS6bTpVfHFqvs7FbC7hpk1
HZyj32YwR4fOMZNDOVvlHikpecvefOqN6V5DYrT2Yvyzk2GGlnIfyyI+tPpDh7sbjQi+LXt6FDK+
IlrZMs7IeLcg3BSV2qTumjnhUWTWcwmchSGXjWzqUVTy91j6B9np7zP6JdXowSqZmrd4SrdYg06m
sEh9lJgTonrTe8EzH69V7mxRYNvEGXhctP24Ufp4Rnb8FjXzaXSth9YD8iC94dmwMFwb33UJVVOH
FzXKLAQGsq7ljNWhR2DWmlWYg4kKZE+kIoGkkOtXusQ7wEdTJO5zCsMQ7l31TfJxhOixXNcd2gZT
B3yZ9b/0HkdQRCbgSqkj7KWNZ0yhM+IHLI0nu3z12na+ZPmUv5JycSIg8RbJkRRvBcewddGW0siv
vRHEIB40V1R77pM3d4h+cq2GnHdpnOcOBhiLaQ0QUqPfkMegEJvmQxNnrzaRcvuB1LAxS67MsO5G
ggFi19mOkClsdWv9RdEWMP9PnFVtK1hahAQMgxGv2a1dezbImzjr99jV7FUPQgXso5Pv/eQ6xgaL
7pLkswMa3CUIklRGP7gils1IfpavzYxtPHe/ojndZFPFAkUz2nvBRp4nJ19kI9ZGyZ7dbfrlFP5W
5FfUSpRsxq0s2VTW9pbt84vul/uR9QvBuNMKWR37oQjqWrHjo+GB/zJLUDlgeUcDeEY0uud6MI6J
6V2QzD2no+msxeC9o1WmdE2djUtVqJS1HUp58cxuZ5oyrGbfO42gGbG7/3JH+2pE2fI4mRfCUDAR
984lDeKDzIMPOE2HdHC+69w40NPesEWxBUGkuWWpsHcqfVqsrnAbPekjOcgeIPPiAY3gLVos5irj
2lLd6J3OO0/kY6xrB79J75lZTWs3spCFtCOrnnTZtThXNCE3Nr0CCUXzlJIVOCYRU3GHcANOmi/2
gqDa3JeS/bHLvyDIATVo5+SM2OsTIdLP3txeoqp/H1TZ7BN4YGHj+S9wHh+9aYqZ0d5Lrz+xSoRU
2j7pWnCZLfHeF86H2ZtbdKN3umLpqPLXXDEj7ht+Dlw0Sqs3bCY3s5eaD8rWHoAbHWRpwLDyqAkH
O8XTAJJK2DXTaa/N9p4/HZaYNJOB0Nw2v62cifOQffoxSqFJRYeqScx7VlNkjQpYR4bwf+j1XqQj
l2gieyMmtcVT04SJjWOJlBBWKwakaaiQ5gDrSnTow4Je3xVuAlE8g2FVW3cSVN6GJ+xMWfYqguqL
fHfSAJEyhnrZfWbEduDaIz6qn97HILpWmv+EEeNOH3sk6DrBepmndl2b35t1fJhj+wflv7PS27hY
G2l3h91wz273Ph+nbZvDmWTRPq9UCz1SY0kYJm1MNiBzKnQcJx69Q28Mf8SVX9sGlBShizkzOO2e
RhlZZZx+I+TedXPxgMeBSEotvnXFsBMen4fW553MN63r3Q8AEGsg5FM3bQq4q6hdcg9Fdb0QvFV0
dJ33wcqfo7LD3NTuoFqvvKkKBXnD7IWibU+waNO666b+QIF2LgPvFe7tQRbBukfoNnX9fhobcA3V
2kCTFfq+e9BBHC6C81XuPYqI8JPe3qv0TCbWqypBmk3FPuCT7hfGGzvRizmN+wVBhZZ6B/c7X8Pk
388L002O7ZMb9Z9tPkSrxJb50W1fCcBaOyDNXSTAhF7ssS/cwYKSM5tpGxidVrU3RK/3SnJyoTMg
rIRHXnO8qyOTn0ad4tHbgNm6JPJ3CW+PKeo2y+ZVq1u/+6gWG2vI1milTtRvjMLS36lZfSexfbHc
/my57T7N4yeECRt9IPzWaYM3PyPJe/jdOwYkMI5OzM+MAM+OkDyENcRK5wXS1dErPpAHv2dj9RFr
GWv97G7QhwuBGKFVOxwvUXKPO/x1NsZb20FPmOQZDVSoGvbxDsnf8dIxavZX4LEFGsx9LdW9B/AO
lYUVZoGxL60unIzhc5iHN4CvS2bink30r7mtvkjEgup07xOIVEnUwk7t4Dtt7ju8GsQ9s6z3V1P6
aJZHi0MhmdY2xzJAYmCY0IcXzxDxqNb9nPmHySwuepD+jLgLrCImMomtGtLNnSvX6N1IOc/1+zqG
1FYELILs/NZWLkxa9wE9ZZjE0P3L/j25r2g3u+cMewYApy0z0nNDvK4xdTCKx/SFaE8H+bIJHZUf
K7t6JJ0O3q6QEwFq3bcdyFOS5miReANBOtslKihXFodApBtSdU62zNau5760sv0KxBBtegCYq2JM
XhyBOIFJAOG5WfksDde+TTOaejfpfFwzOoVNXae7erTCSWuPeVaE2K5q2F/OlTje9zhTv8xoeO1G
cNwKNK1nty9t3uzrCTkmST+sYkLXHHd4JkJ3fhpZ2A8cvDnufcspH0QD/jTqdspwNt4Imya+Z+Ya
hFMi74KAj3pUh8H0u0hYyqW3XgTHqYR236cI2o5aqtYuiUbyAXDatu62dPgXEdXdGloq6MUk4f5I
l5SDh4GraK2gUWbTbqbl9czXeNIf0kHnPPB3afyUp+DOLGc/pDYQbn/btMMdItrbaFzRIm3A7CHG
+NBQpErBJq8enJXKviYoL+5EznADy08T8iiDjpWocH8H1UvCs6lqnCmYKrO2Zs5KI4FPLO3vUkPB
AvOf2BNvfbv/THGVsrob1k4EVMunfhg07zXvrRpd04uY480ssCSYJ1K7MQJzZNmUpDJysTG5j0b5
NDqbGPEtSPIuFwFhxIQkkJX2HOuYD6oROW3AoJsd51JadvPRi6r8vvHd8pfmJMGmiuf6EEVWSw3Z
Bv2bM+X1C2qmEZyVM4Tkhimig3v/ih3Kv29za/wepxrVRB7oO5Kh6R1mNxrDaICI6jsSTIWj/0KT
nNx8q3RPuogJcOWwL/eB2eQvtRf4m8Iog4d5tHgntT75APc77Yu0IZ430xxj00OaPGYMNXFxkAyM
SI6cVFmkwNFUvPdanHa8pP/LK+b5SytdfV86qt9FbGIeAZpZW8OL+4uPA+SoV1l50jWvfaTfoz6m
MGNRw0L3JsrcemJcJkN8Y9wtWTIddKNrTvVox7gLlLllicMdN5O9HinDZ3ilmYzWxyLYDXUj7vEk
xZBq2wZEczAftKDp7s0Kyl3RDt0xGDyC63ON1ku2yK282m3ue5sou8pU97Vvkr2KECx7rP3ee9Fb
Xf1qGBGest6NtjFqkYuNdPhdWpiPAAuKZxodnh+/i8svP2OgqBWWAyV2TLKLPfbOkxNkyUNg6erW
TUFzNqbWeRjtTF7aOkjQhL2MqbPq/JHY4bmXD1Ft2M+abatxVaXwNVjLT1splvQ3Fu+3dvSG85TO
3p3iwvxIYJjvy3rwyVST8gtVanUFL95fEaV1FyCKGaYueOQI+AcSWRbYHtv9LWbIeBdT169Yn7ur
fETbZkUm1h07K3ckpze7cmmwKxx3isX8MgQtJgJOrcR5Rd0N/Zrj6SNzCvPcSODZeDGMkzbPijMF
bGNZpNdafsiEwNc0YW2DC+9imoqbtCnV+NjxyVRgsjqCrQHJV+tBzL+cIsPNNnWDs26iEbec++xX
88UV+bubFnubFOSkNkObEESO/XSvufIk0mwDe9vdOB5uJt2P0eMyq1Pcv7r3NmkC+Ximh8gmv4lE
Dy0z+7TbHIdoFo5xvoX1vKmo3LgYbEciXARJdvZjW9+B63yVZv1kVvYh1f1zYQ8MF+cwySy+42E3
5mdTb18Mow82jda9zeiNVipOqShL92m0x+dIMy6NIoZd4yRKk/xOSe0Q++rip/F4aAxhM5Q00UlX
EKvy2bwo8m9ZGMA4z6pNIJJ7kU7dts4oyrsUErBpb0dsYBhezXWz6YDuE+TV190pSHwY8j6JztXv
puqe/zIf+i82dGi3/m7YwRKBLaWuM123sBIa5LHx3/+yZyXanYrJwTjmFq+0+elploO8yAmeiWYU
6qi7lTjLOp5vi1TyYUpd58nIuuzSRgJlXedWI/HcIxKlPx6VfHlqkHwEZ2d5kpLlmcqXp0ssz5nx
xxO3PHv1HOePExk8lM48msPyjKJ7bu7V8twWyxMc/fEwI9PtjsSTasc44llXy1PvL88/8+Z4U+Jc
xaTUBbtpgFQNQjryD1mUQ5802uhqojfcNsvZYiynzLycN3HEyaP3kQyFPVlPnqM4l4yO+jxOkv4R
inL3qNddCRXDbY8oJ/oL2hVrC7rZeDQXyke0nH6IVGZCpDkRNYaqP+ZySkK1TA8JbCP8yckGvwKH
6bCcq1gN0cP+cdgS8jntVe4nH1VDndHoKniwszzYJJaZv4xWQsMwTRzfejK5J6Gm5GYHtfErCjS5
KUUQWgTShO4fl0A95MZuWm4GorTH72i5Lerl3iB6QP3Wl7ukXW4V5jn1i7HcNNoflw6/zfoQu9xE
YrmT/OV26pZ7KvKK5CBljQqPOyxZbjODaw3SmBmv/Bn7LkPC05IYwgYD7fXLRN7hm6+GvlmptDBf
leMx1AI5rN6ngGX4Slk+AUkxA6icz+YGvSjxeCUFnJkidrJkdfa6gky6hDUENtPk3Ix88lDQIHey
MTBrhHyEuJijT5uoiHpfIy+kual7Y9s5ukcSSP/HK4I9LSHG+Z3HPa15hDziIk3Crq6La11l7qcv
TPNUZhwSOzK36VcX3QGHWa9VxHa6dv5l6c1ttJCrrBvddMQ2iVBmt3QL4cCqnIFX6ZJYsJh2dQf7
7ijEQ0K3uZ9w9raLxXdYzL7pYvud+fiqAl1gjCM4QKKQZeKpWKzCGpac9bzYh9HEo6ilYf+hiXnV
fN25t4Yg2HT4jsfFgDxqpoW2GlMyoGZ4F4tR2Z9cWLapZHNvEX9OeH365C3WZncxOS/kMqDnT3hF
khO01XxfLZZosm6PsWX0m2oEeLZ1JfAkxnK4ky33g+xQZiVG+lstRmtI9wlVMeZr01B37WLHnkr+
dxQ+SZh545szGDgdgHxsK1fa8DxrcyeQDq4NEghXqHx3flIPYVFNoNx14WwZpjJW0dvPYtBv1IV4
WVzEkFQfz00tX2qzrB4nraEd84tkZw/DiOOfHJY74r8SclPjeodlnxBRzTB2VuY2W4I355Vvj912
NHnWYAfYq6gDfKLFWD1j2X1M6L4PQDXSN5SuHyCkqSCchkQMz+/x3VqgV+YCLn6bkphcljJkUw9N
vEG3SmiJCPWG+WKfwalN4qCktGh02vmrI9jUxRYVE7Zh9vc+QsAaaecmUHStsKYBuQbjE1/nHDAX
sPC3UMk8d75bnereiQ5mE+hsSlV6X0fet0F+6lNuEhnvSw4UDaEwXczvzHKfktI1Qjxj3srUYvtM
XlwWYvNAYxwk311ATVFkHVe76Er4dRUuDJV+KWW+TcW77mT3sMv4RJgpIknvOhu1uVZ59dvt5gcy
ByC/+oD1taIvrJUGrW1D0xGT2GOOawuPC50IjQextVxWtd0+joapP7Py7uhejV+y1i2wDtmz1xZ7
o+Xg0pD50hmz63JjI7mLoSQob0qYJfN8yZZLgrDcdM1A+jxGjhmtMIkKfNljfUhMLdkj657fCNml
yYwtGPkyZzspO0/MCLnH+SNKc3TAgZ2EiNi10HYYekGFbz5RzlqHGMHvKZmC7FD0dneJaq+/Qiyr
rsQDy6+I8+dkmMLbo4TuP8althJLlWUt9db0R+W11GCm1nsHEom1dfRHdcaJaz+Dm5cP7VK8Dbzj
/3+N9T+RsJmIItmn/PMd1nWoss+vv66w/vySP1Vr7t8Cftesa9lJ0SDrLMT+VK1Zf6NzgDgLYNFD
GxH8p2rNwk1qwIMNoFKhzPhrimSAmAMRHF+IXhMKn/nvbLAwrf5dNYXEyAPcaVom8BaHvxfC7V+r
qTiOmbBVZrXjHOv2rZEPn1XK1HnRt1+tQutOk9DVutDs+lSNfgJbsKJHlH52gvPMTcPi7sWvlPMd
EEBEheJpW49NxBqMrDxpeZUACdSARTlOdGTqFHPezZ/uYF/rDGM89y6jiPKkaYW9Zhntrbw6whMf
sIcifWZpql/M2v6ObIIDRqc85l0jdiZzGBxFOhAi0SAhUaaf4nTyjOfCSQGwCIh1R4xQ1T1n13xB
xVr+4oTWkT657pdKkWvzetMFVYq2NW0tZmXs2vELw0kmi9qI00JBTmqDKP9wyqFYxzOvGpVWzGgC
jfz3qFvjAftWzFarmw5aVVtgCgi2F1V5I/u8/sxV0h8zA+j21PryQhSETwS8Iy2GzMtCMAd6fk3I
ud5r+XLaxtNArGZHowlhgb6oz8xnRScXt1I+ppnFcZfYWGfByu600rtivxufe9ImfwQ5Vm+pO9k3
diYcXfqyL/DZd0nmnpvSjdJHxrHmITAVI5dRXOnSDDbgwlkYBsOJDJf0bkz86mXCFoxhTrc4zBhW
8dEIWyGyz+XUoeDBu0+0EOTdVT154yOihfLMlfcT2Uxr4JIj6hlc8eamCryErZpf7kw2eqb8ee0F
8jUxm32eOBD4IJmkjWHcGPIRWUQ9f828KXizAYHcGaqxT1bZWqTxzsU3/j/mxVzaXNVZ4pwVjJFz
NTeL0sQOnF+NM4hd48floZNop/OknY6lbkfnqajEHkECAZuGbxCLozEJV95P1HK6vlkZrwyGOXjs
iJo5Fk7XrWcAU8DsM0Jz5ljFcUjsacXcmXrySm4c+8BkhsuszerZnAvjUhXYmkE5iFfWwOpcKOqw
WB/1O2UKslgwBoWWN07rweAXhJbeDBY0QlvT8zbdXqdYWw/V2K8Kzf0N1dE/9wNYGGGKYOv2mEfp
LuWhR3t0Rs/8DPxErIPc6bcQWf0tUgzvKcCJggm8LD7dRKM+7FIrZWWkRdjLMPZkLTYXMZMQMFca
WedqqENN6QJvW61v7BkKQpwquhG3VnuThc6uyPSSFSRrHgmnxapIUPbn5j5Cvbl2Mj90enflKdns
ZkaTDUC8NotCiGVVSHzol5OwFbaL9ITXxF81g57fmCqnWMA65uXYdWwjt7eusZgKo7SiXdH99zyV
zBZikPE3IyVf062ad9stvypmWs7c3bHl/MUg2GXPlvv7RmvtLbbYiMNn+RPL1mfyaExF2MwPU2c/
UBfi8iqQnqKVUo9xkPYrayL/FYOgCGVafltOfW7TGe5NzxLSGMg+pYsbXpN6otIz8nnHGErH84er
rlaVccI03R/rzrI3NA3eTw+uESqNa91j5uJhQg22ifBLPCJi4F2VNjMBRdRRN46kkDngM/kcVxvf
UAu+e27ka1zS8llexsgqR6jDXr8+Sk9LQy8fu91YZ+pAkLYE4oQc6dDN8UxECXJP1jrOlmKlW0VW
TEkXKbmOW37bKneS0JkrMtq0pN/lgSg2WsTCkiAIxFeDQ3GFauCrgf/I2iuv1V3f6kZY6r08Etod
vWJNmcOxzpu7PpjGoy5kdawK4FlJyX6HyMP+hOBID/0g1x94yNm+ggdgbM0oMw2lOVnPLkEv1KCq
aIjwkQP6Gzvxz13MwbdJUt/aZiO2NEaS8bcMymdrEgKpcLojkASiT97t8VN6ay4M522stNvQTWeV
8pNHWZiMabWY9ugx4ZRmby0Jw5g1/SzMFBHldQ1+NmoLNKsZOhIsUEkHmGng+e+x9iBPTXc9HcC1
Q0Sd62itKZKh6EbojlEcDhld50DGSZhb9imbazQOgf9YzaM8OTV398qp7P4x0dx0cdB+5zhm9lMd
G+toEWRX6Y0C2F7nmSa3M7VXmHYs4nt2VjuLAK2d5XCCOwYWfhkB0htKRFvYM2/J6D3THQDNGvkD
QiNv1FuTcWyw6C0zZz+6rCXpT6JQ7/V1V0TtrqflhQ8QqY8UIdqD7pLGxJ8eFv64j8b4vafpYwL6
hOvibJbxptZIsEUuUG6wKREpVkRamMguuWs1AsslK8ADSxVSZ/jJXx36jPfOyqANCj8/cEvsqz5q
HuNCa3eKtYATGuM40YEmVfMmZy8+CVf1F494zFOtef0PHnttxSd3uQaBXRV5WdHzYs7z5i546NwU
qoAcNq4+vA3meI4Yug5TNp+NMkaNl5hcs0UVRjggpxW7iVonZodDVRr6UQMrsZqs7g54QQiZa1yZ
SW8AXWH+VSCnNAxcVugcGuiSYFaMuT+0YM6k9Js7E2MhfIHsx+hU4BBFjU0U76PZPkKwEVDSfjxp
Tb9TT0VnIXO2OxT9J6dvl93wBAFyTZxD/zlzDf1ks+7DdtIhuOUwfVeK1pDrLRvnp7Ly+6ccuRAZ
yyovzXAqUnFTo44MvoGowf4jWTt92TqrlLiKF46eDBl7JHedqLrVZKppp5v42maCedbD1LLQMhL3
UcsTeSh9NZc7N1aEtVhJ99TgxJOd8C++5gxEJvnaC9C6mYxHSpRYb36KRsqnBq5diCXN3Q52we1t
WWVwgx3yIr2RIcPIuLFKzlihYNP5TO+s4c3o2+cWFeLKqnLrhjy43gKwJl15VsF9FZVMPfAlk/nk
ECJQU1bETv4rSxDo1zECovRE8NB+6ieSo3FDxIhTSvKGc6suN/HIgYHNtCZbeWvoYl87wxVK1UOu
J7+40JjNjN+dY++EnJxzE8diGxt2ELoZuG8HLhL3LlVYlJBD7nrrjKyN+6YDK4e6yF5bpKKdoUVv
C1yvyXqSxJMFiT2ccQ/ASm/EZODOy5p1xizgiePXv1NzByy+H5H7U8JXjNyoOu3krNd5eoJJp63T
cbL2Apn8jSpOPdZZARKTDdTVILTRKTOgfRSwpbQHVC56H4piuHczVpJaQjJc5zjFyunMbg17KThG
Jgk/hmXIvaWNeli32meG/3SvRFHcYT7jimZCid4GG73oWBHWc+LckUpnXCm/xRFYgrlv6ik+iig7
lZoU70MmvRc49v7aZAJD9IvSmA0xUHto8TZdgogRBLGyn35R8f0GSKsmbh9EOouZIlVhJ/o3Af1E
jDUiFLNHC1Qu2KI8O0a6ob06aem/VSV2klQk2nNlw49zFyGqo2BdFLx1P5J8mw0VJdlgEDTYE1Y6
7lX8xEdG5YjRBMSJYYSgPPUub2oZ30Wx1lw9n0sqrou11VfDK4kB4s5J/fa9TmtgGI5YzNKu0Dh4
sCDCDum2RiRaPjsIVQiCjMIpDrQtaIYgnBlf7BqAVs+VSsRNj02fxHMRPZCyaZ1dopIO1GBEd5tF
9drGLdTSkhwhzXHUg6nhcRnTvkCtZHg7kbrV7wDf4I55sh36ggoayIB9ZxrE/KyWMdhnaqYJgYBL
6I0B7uJU6yp9jGOqPOQlIn3p9IIro2ggzwxRfDYKXd/FVqmf2UvxXI+xxTq56w4RoUhIgqv4o7Jn
gwQ0z1xPhJh/2wJyouY3zosyIE8O/eSyGBm696AT8UOOu/uxnqR5nJB0ceWRWM5bj+MUpzP7XLJe
w65bLleCvYHhbWeAzRRsXfcyIHTZa52czp6Fgd6dRHW2u54kTd3xNnMU/UyAvAx8J8SmV4WidJNW
tEXO7b8bEsBeXJXWA+vpbiN7Q5ziLnOpP11nr3rH+aBlFZu5jIOfpo9M0HMZNA/l1xc3TtPzaKCX
c2yW5Kjj8YYA8uTWsIOtrAQ2UTO95tqEjCOmMvfTwIDsYaDfMIPsbCK4KRElEeflQHf3+vLozzkq
+MYMDqgdMcBMbf6bH1RsoqDxTgSloh0v+jpimaJ+OxFkvTJXKx+NCYwY9jJGKw22FMYSSBFzfhZV
hPsqPo95TuVoBPdmo2A2+s5I+i3Cv1TL1Hqai/faH2dEJZl33yDJKp0521bgJMLa7KbT0uTD5Kx+
xNTsHL8MmKIFahO1CUBA4uNeEuZHFplcKMESnjlEAEzwXAG6bRha486mBAsZ+1bPMQV8RC83vsTI
Llgd64+ZiqOtHW0JwtsZuciPUTnesgkdWzxxuChKcjIvtdhQ52UmuO1jNgToJi+Z3X3x8ZSrjPyV
M+mshIwokJKiFx49t2vv2hkvATPPqgkdiw9qQWRV32buZSiS9znRzzHn54YoMn2pDdJtLTCnjY1m
bujzor0PvZwkw7S9jU2RIh/rxH7sgnmjOVm556bIjsaIcVogOrwMqDpR43gCPD/bfM/SQQq3enxM
5WBMqwKt7ZqQRtNErBZ1ESZo89U0KZ4W6okostVY1EUc1iBXQwrffVLf5b4/EdEwTndI0n38t5pk
qedk1XsZmTw8VmJEv1qC6bVVlHgSLEcipB7qY3Yjj1p7kCzz+vLQ2kxy/T7Re8pMZzzXZV6dsz4z
PrgB23OjFbS5Scs3nuXCZ/NtSDg2WvA2WHP0YhoDgqqRvmXVp6Qrr8pKqkPVsvAg87bfeU3sgoVC
mqN6dzg4YGEfLGnbu2E0219um2HNd5Mhfa+BYIAKQH3YNQ0P48jhyVsTnCJw3Ieeb5Id+QSOgRVA
mJLpjPGitVlp6dPLOKTlY48P8QwvtN4lxOpBm9Tbi8Xv9GYi/Ni5s9+/xOb00xSZuaETWtYmI9ld
Bv80yAjQiGWNzA2chbyCZf3CbWtsSntEbBklJYpL7U7L9JwdLOkPHoXFKjCEtjCoAlInUocZz5zx
2DKU9h69QmqAyMyJgrsu7/VS34AsguMVEzTWkEK5d9WYH4PWIpS6r5+km3+2xBfPKtVQY6TfeW5n
B0+09+XYwt/A596whXntaH58nmHPMljGBeqjFgSEp4DGb/9H5p67n/r8Wf50/8iM/r/QbWYxPPxv
WdCPaZ6nfyfK//NL/nSa+XCb/f/F3pltx21kWftV+gXghQAC0+WfQE7M5ExJtG6wREnEPAbmp+8P
tKtMstR0+/rvm1q1bEuZiSHixDl7f3ttGL64cN2/RPmu+xsieNvQ6V2SmoJY/190PJf0Lf6BRz68
sFZ/2l+SfOc37JYc9TFj0yNdfWv/gAIt3k6HyatB+o8BTmAqlwSHWO9cuGRV6uVYEvQrh1i7WNox
86MquZShUV840+hs4mapA0nA7Xaso+lTMmbRRSk4OzdMpZDmoS0vDIakaaw44XHivysLwFYVE5/L
wpnivxHvr/3Vv+xi//l930n3LW22u8SdxcFLcsaskpZfbdCBg3dO1agTRNF4+iWwjHD/qkn9q0H6
i5Xro49+Z4yj41nUVEjzIYkYJi2kglyBW3J3SzNV27TXqgAeEPWHAMCXGdb1NLQTm5VXBB46IT/l
UHOYlxKJM1XLpoKrDHchvqbVjJuq5urZ5nSdkzt5GXb97CdOBcCnLfWDWpK7eki3bZ6QFK+T+d41
GtOYmnPsY5Zo8xLMzdjcVHHBGtYV/f3ALnHOFPGcWT4l27xGfVd4enVp9V5y2RKy/nvcj1TXWl0h
niIie2bOvoNOttXL7/MQ60fcQ3uQaRpSyJj23Cj0T3KspqODRnmfmzmgnilKdqnTkznuKVD8ldE/
4sTWAW4gPsZ3hPAoQjKHqrvaV0b6ybLD634eb0ljbuEUBGOuPUpVeqcuT4uLOfW+qMXQ9pZXn9pZ
6sEc28Y5XaJLpNgUL7RyAndOoab0yd4ca/jbrvOtQ2oZcMQoN5Q+F9Rp8EWG+RqqhrVTTdZte1KP
fC02u4t6mMgP6qm1wjy5qkAXEfusH9qoeoDjdBEuMx3Jtg4Gzk+M5VByNBcQKCxApnqzw544BXVU
qF2yoMCjiSK3xgiOhX0rC+DOVFt+GFOxpO5ICrb1r2PURlvU80xvEfTMNIeS2xHd7AVvzSbR+lM4
e0hXEC3toBQ+TIM23E4FavSpkDod9n4XAeGj9ak9wJOATdaC2GJky+C1quJrryewaDDN/My5Df8h
jnkmkSHsQlvfd0kcHqWsXazGVbxt6Nkh5rEt3+sRIw0IoB44EF0AyN5q1TBAoC6Oi9maQU56NIpd
nubJIrV9rAFe9S6IDTPr59MYIWyeki7Z6yhCpFM+dBkZqJ5h7Rv2eLQsD+juAmX3WGYYqwYW1NYN
bMaDbXajnzVIX0sHCmJuIIjM+5qCinnh4FkHi7u5Ie5zb1ufy1LRSzdn5MZWzZknRzmrhZrrh3mK
1bDhwOe46b7hlCJKXT8xQ+VVG6cxmAjU3VR1B3ukqrN7wG5agN6a84m8X7uEQeZOILjmGBVZn17Z
LpLVOeYoAby9YySsE9agGXttbPeWQdUm7egOabfL6dWjUZsdm8K9S1zOwc08PXRTAsgv8bsuvhoI
LeWIvgQ0+7cT1qC8uXbQnfgOgsk4rt1PRpMlqOiQB+r9tywBGWVHLeo/hrdF+aA0omInb9fExXdd
lNuOEUGQO2KgwlUIHUx5Bf853gv0Hkna3CZUseT3XU9OdJGGpUFfGindhoRbZxeFdsng3KzUk8DK
zHUv9Xt06Dtg4cYdFhxysBKCyEpvmL4PWDOhcLY2fpHJ9L7FOZgbFBDJcVqUxa3y5AwJsofC1tT5
jh4WQX0xMq4JXOKhrRPYpEy56WATMdIWmXXrgu1FD5stlylhQoccUuGFybpI0at/gnAJqN5rxtOs
j/1D66EfAXGugRfSdOAmgtYmKdoY5ktHR4A9Aahv+vauCYv+ZuzN+pBUBjjnEUlvnlYxMy+OvB28
uLPdhIi25ovWMOetZWcPc5l25BJ37A+Z/NzPC7jX2kEFMUdig6lGbTWDHEijcXtfd+kVdRIpgQF1
YZNmiBA8pZJjtJbAqdbqe42D2dbR6ct4lbIeCyooJ1xY78AEFYtLpjfCE3BM9gK4wVnQV1XPDshv
AuS7PTItw9c4MB2Y7/9u0pnfyiS8dRJ8KyIOtd3ESRMxXwxZXUvFkYj28ooz2t3H+9hqAH23izFF
NfD5kc9KEfFODiY0GQstWxOJveq2Sgr7UKBR79H5/YEeeBML8ppXI96OSl+26jef9K60AMFexqBD
zcMQ9RYhE95PsaiBGF+j8nFxPdkGTYvJkogb1pW3doDZfPxbTeMXPxYTvzQtYcDtc95Na5EIjWmp
FvoGAxRHoJWGtuK8YYnmDs3zlqy+pBHZfbfU3SEjYOEKav60iQcO23DymxOUHRy+qmJKl7a32KY9
dNAtq3wkyvLKcpYQHbyeBOmQR4ck7MqDMU1q29L9C1SpX7SN7h44yjzTgSP4BaeyX7TFLd9DgxOc
f/v49/7q3r7+ue/M6KnMc6zjljgAtwvvVDuB3uZoFdDuXPyPP+otJeCPm/sHutnBcMwY+O0cXIy0
sTpyxA9J7zx3DhLM2ZJfEYqUQWvVjx9/mLk+Ku8f2teftgKZXmkYcVsVw1SlxsFKhpult8wvZhH3
x3SMfoiEE2ZjZ91NH+fxhdsZy6HTJgC6Gexg1466S3wah5Q7GRAZjjWnmXap6rsLOvSwCyds8EnC
LcysUceUkFqBMVflDVQlFKVZy7RgEvxtdNIQvGjnaS1KmrU8kdQpH//Ot1ypl4tKxQ+jDaeuy3Vd
H+dXPzMrRlvX2EcOdmMxXrFD+P2IBindbO0GDDAOtL7Js7+5lb96Ud987LuaGvcli1tF51aT1orZ
tX44mWBnbhE9Ja2uXZTzdBUylbwBzlZtnRFW5sc//JdfgUWJAGIB34p50dtfnutiUjUBFgczyVta
SAbOdXWJnhduZWdxWK7ta8Zy1Jso2lj1m93HX+AXj7P3+vPfvTk9HlmEzJE8dHn/1VTJdNWVoXlR
NDYPthb9jUt/PSm8e5z5pbrFPRYGNKV3vzYeQQZ3CB0PlokRWIzZuElU2G0//k2/WA3efMq736RM
RBe5VclD0XHwx/yCYQ9SY0dH+m9u368+af0pOl4ETqv/sRjUXl/iitRXONG4GV3xJbe9I/vM3/yi
Xz4mrz/o3TrA+aPvQFxIdhNGy8nYXafgtPYe6eDgxnvzPos6DHDRWh43a6Fs1ESefHxZf3Fklrru
QCpxdcMjNundvhbG04gZLjQPvZPWh4UpzENtSHGEjmweanP6VNVeFkQDM+dkmCnforjxnSYn2rLQ
vmkAGWGOaqyYVBflKYuKL7grGJAlxmckCNXfHJihcr1/2KBAwvB2aUrwjaHpv1lUoBRmYbG0fDUC
UREeVRsRgyGqlhx9j7ZcTp49bVEfHHoVI5EegaRzCNV2aFAp39d4lKFgOW2H8kiZGm7x5xP6x5lG
aUyiOUQ81/UYHfWmoIRjIizQzODDcjiezS49Ky3ptvVSUVvVYUM38idRfWIzj03h6/hcz0qpP0qc
fwQ9+v+RIEHYmM2r+T9L7x6+FUn+X1fffvSv5Xd//rE/m1X6byTHmo5rEGXMSvwKi2T/ho4OQAV2
gn+xJf6FRYI54eEsQOpEngOLABvXnwQJOlzOCsaxJeQJxHvI+f5Bu2p9Vv9aOFf6oEknjf8hPY3u
ufHu1Wsb0+3tyW63DKkwSBcDVqDmayHNyG8XYlu77EKqaeFRhnbw6krd/PEhr8tZEFPvPhxChgMK
w+CamIJf9G7xmTRks6NDAgHZNcsh7ID24LOasdaqabOKkTYLLeJzooZ439d6Ap5b6N9LbDNbr56Q
hsfoV5nUw/u9Giw63tMyWaeyXRmhVmJeNC08gKRV3qWZKCZf7QwxP8RfMR9CvUaxUTu3FKYWRrMV
kQsQ/sGM4XrDcOAvdJaqpik1imtZMUPDOa8usXBmsI84oVcW+Rc5dqGOUZsyrxy50FTQGzWjSzKX
W8JdjTM8Iu3BAZ2O7q/yrkcTDLkDOgviuF7uE9LiPqUJqKPGCeHvpdOyiXO73zOct05ehjTeYgk8
Lmt2J2I6bUUBQMDNDtJpjLMD61YFrZb06P8aqzJPTag1BLo7Jnm9CSxTpDl2Bppvdr8ioMJ5muEX
uAO0FdW+YiTApEjjqik6cPOQqnOHmOcwZpyXb1EaDj+LcNZ/L6VSKadXrZx9HTNT7dP8Hx/HKIoz
tNBjcV+a6gt6f2tLIBKteKM7uaU8eWVZH6K0VYehdZN92mhf7V73LvVeTnaQ9yja8171OKmytE9O
dmpOkAWKCSctcGluVoa3GrDrPgf3ujfciBNl2rjVuWROeUS4SLDNEI+E3VTp3gvxvSfkqu+UcrXt
0nO7lcj0bzmtmy2SLhX6+AunfYYZvqC3d/ayJNpltB8vTUInOf/S74JpNG8cTbkH3GJQYnlzLEAT
vTjPyRjXPnRrEgnSMayRlDGIz9ti2dH+gXfvACNG4eftBmksgd316gvSbvfLSv66rFO8N1NknVzR
IL9cn3OiM3K/QZF7aWLfeRhI5NjERd8FVBVqa+oEjtIfod4GXsDxiTPHg4Poz9tYVpvdkyrviWBA
WCsqf/Y0dB1Z1YgeaWcyfk3d3hS7Ghwl9MReL5sgUwPxy7EYLaJKlwU2ojkactjROViu3NIxn0oZ
dne6WeKIc0gp2c8rpGhEuP9zIZYDroDyPnWdMijeVspRmsA7SvpCPpho1UQwVRMEFxlnHoqOaSDl
LRyscFwZkkzzPYsE0lFPIkTqGUT7I6zn8ameJwSAA4O2c9qKVnwFRDzvF9xFvmcJl918sdMnNbX5
zVikTEWjPn9QJAweSGKATpFYBzcfn5dOY3zaTuMuK03zOYKQ/CMhBuQwR1ZyiS8jPmJIQpEDJQTg
W2MOyBnj+qRbSc1LPYnuEwZZ73samuFRq+wl0Cw08yXYV9DDqrAOmd6kTZAghrtcBPk2cJfbL+QE
M5DsR4FYY7G+hctQ7vqxSp4N8iu3jLHLu1IbXAblnvhWRIt9I/B678OYLXueXPUpTONqnw8k93VT
VGACt5rPVWqan+DVymOMOXJT13MXBlY2ZNhm+2zc1wrnzyYr80n5OIxE+z3H8h6dYrONmPeluSsB
JCTViOWvCx/bJdyH6Rw/Y5y1nYOEgLdsBc3j5WCM2gL6I0kJbLcrguRjc954Fj4j/PEts8lIbzAu
WhPRj4oRYxtM6ZB840mb5k0ZYiOACOolOklrrMbksjDXjhHypTunhpMdmCbhDr3TON65q+fiYjFn
oXaNzDA4uGTRHsm6FF8tUsZu+nYZjg2RcF+UabQkUWvDSFBXSU2/ReDGawMbO/wW2zNYnBB54Ale
9vi5T0sMCCGZJ2HQ0Fu6FegS1GrJhG8eJdO3Mp3qqw4pnnERF663HbT595lwAJqDERemHHLtvqT7
9ROd5oDKkabu6BhDvyWgjT4KqtIOpSoV2iMPP2JQZHOMW8eZuMM9HTDQbT32Fn3TjIONyM1pACX0
XQPWkh6z+H0CBRFgQ8rEyvIu4d70Tfc71iklt05Wyy+FrPXHBjyErzeL8T3pO+g6ciGMuVvanZ5H
6nqcbO+HMpfqCkGkl6Lk6/QSJe8SLn6+rLEX0YRgnP8sOTFMXyo/qh3zAV0mKRaj5KWH/tI1B3r8
fAGSiqAMFfEyokoQpIFsoiylxsxUViM57iXrBbHtSb4nNqYErx9ZfeEbNsaPnZvRt94j1HU5Aqz7
DvjB6jNbT4htPWVm4VfTUH/KyA48ZYySd9wyRLmp2+0kE5MzMjM2vMhjzKU3TncxVANMuTw2tc4v
qqK8aUJFdo3kdWCu7iBGnK0bFc5xzOzWMa9ThtBXaHsRPDdGeS7mdmQ1JTGJuLVxH2c9CmcHaSYu
NsKuc+yEZnynCU/YAUg6tSYmjfr6oqNaW8hl20a65/5I54Lntp8Tj/yfzFPP7ay71wtowQrN46Tt
6OtSCRFCFT8yf5aBi43uVstAzHf2dBOPAn94NkafRWe9uDIdP2x1TGxgT8IN+TSWHztee1ZxFF8r
h3QiLqcmP+VVM3wnjjPjnUlaLEs6rjdOEba++C5MsY0pLSLflvhMRgYwkIENuW/UXupVTQVhxA8Q
jcarYan5wzHJn1cGhqGbPMnNKzkJe8B9piV3U9fpm1l2uH1CsC4MfTYDWSOw9IeNtqYaUJPtEj0q
icgyv8tBsyBttdfZHBEpOofYpNOaz+MP2rshLJwLNKXVHvqP4Rd1He/Ako/wWtPSvRljIIQIwIVZ
BBmUT3rldg2tBmXEI7scGoiKh4o6iEIIlke8XEGihADhJtpyZxspYY+9SXDGZhz4QrAQC/QzBt1t
zvF9+5NGMz406Sbd996NifkouoE0r6Gt6wOiNJ1MacLwNo2LPd9PC2e2WFotRI0eUu3xuBpK+Ksx
UUA6ARNzj2OpOam5W1Z0gFQuJZ/Fflj3Sf+lQzD3Bc9JvnUidwFDQalCAKTdMybkQCjhHjW6/X2p
M+dWknDzWZAKGPnNkGRrKENNlAFOTaZ0Sq8+NYy3pq2AMNpxST3vplH1coW5bzi0pSMfUjiMB90w
0muyANzHCYkn4yDR5xVzFewIx3BKJEqHwuabDCzgtR95ucGwxEIM6mVIwXbDYoB0M8d0vsezY8Ub
KnZD+uXMZPOgT1V77jUvVtuZU/w5Toua9mLEx0SpmIb1vkjWVRW3pHTbkkUMzaGlzm0z5uN1WUgs
222kwdbJi2FYyKHQ5vA60ie3DFICX8iAmhcuEIbcBBEOBbG1s+bYuB/asNXoCTqRvk0HwxguPLsZ
3J1A4n7lVrl30Q8OU8+40CcqYHpzGzHL7KJGc6uo1gwXCPtofHFi3f7CS50OF0KiASsE7I2FRSdj
Sc+cTzPu+PKEbANpuZ6MDS3/ybOYbBLXRslaT7iYy5woFUJPQCRoiwP8WaeM2o7MKxLf4OQwwOS3
cVNwT7z2Ip5DQkrzIf1MkPqQAHbsiLewOg7leQUWHgmO9lMXacgkRNBf0NlVjsQOsxRXbpw+mqME
w5FkWveFu11fYpTHHrgUJmNMFvNDqHLjtMgIwYkVducCVSe2iRCRL3pw7hNfovcnW05Ye608DuC3
hYooNjX3Qe011gMBYg1Ei4/PY+96QQ6AS8KwhQ1SlZOqkHJtSr1qlpZG3/V5IrttKPT8WHXRU5mU
9wzhHk2vuCeGiY0VanZAkflVITi+/fjz37ZV/vh4W0cyQXUHQ1hf//2rj89CZRTZqHVbUmobaDI1
+PAhyf+mI/xyon194l1/pWesJ06dz7HWUPLXHzOrZTDGRfbbIYIs2A+4zX1HMzX3IGPU8wQn14XB
6LuMf5RsTwY+siYvNmLIx0fytazjrJX92a6L7i7DdXG5XjLfRllCZhcCesPgoJBkNjG/Pftid2Pq
NnCml0v1f/2Y/xXN3+SW/c8tmUvsgXXfvu7HCDqpKH74Y38SPSXQaRAOaIEQ6khX8qj9G+q5Bmh6
nJwkm98bBZH1G0ZMx/AwuQNBAIPw75aMgY9yFf3wN5q4CUzzH7VkOEXyCL56RF3Y63yMQ2cRCI2w
3jPgrUaVtaZn3iFtk+LAZB0JUQKut1vMTY2qMiI2cnrI2Hj3koa0H8XL9KnAYXFfigSBsddcao0L
aDIsppNjjMOdGuStKPFLZYuAWjkSZG1gSyYYhJTYTdyGn6XhFpddph1Vuyrwerc/4Ym508CLhug2
4ycLdCUYFyosY8hvUjd1XSzVZG8CtJjB/TS93NGK9Zagxrf84DEnQ07eoZ8c5/qyTSX5HWu97Bdo
LVYPCcHPbKEHrQQqfoBHMd1j/48fk7r+maFzdoKoM5sWbUT6NTEgGSHhOiRSXqUlSy7+yuw0wuIP
GOOroJTAG9BGB7Jf2RsW9YZinnYH1p8AQ0Sac09ROBLS4rcJFkdkWcIfmgTNQpw8Ukyxf3XIl0GS
wYZWamw2o2UedVh/WBYpIsBKR7vWKISveESyzdgV9Z0+pj/YKiVKijD0zXhezx/6CC9N6V8Lgdh1
g6162M9g5nAukZwykM/VmaN2P/ROfjvktrbPRyssg1qG+i2pIJggSB6P2S1KgURfsAFRM4562KJc
ytDXk+tV4gTv5tvQoEDtGlnQgSpb8mG03DYOeR1H2rFd8vxEfdWlu3AxyBeXVBYhNI+wG3axq3mn
oYKY0nHeQjhEPR/v8cMPF01nNbD9PDZ02gszsxprnc77qarRlEtUNN/h+0zISaZy2LiecgChOg2J
x0NRgH6Ztdm76Wh6kFvQrBuc8ByLahRml75xyaV47JTdXi5dJ4lcB0xEKqkI5XWMsJvAQIgFECHp
64Or6oDMlcM1o2glbuescwFtpYpQAl06ubMdpQiJSW/FON6RXBfGB3yBPfqbWadiz90oWgJFm+xK
Q9T9XNVJcXJaEtQAoNL02RNhCw0gxbIC7HoFUo2iXUlgo3dLAucRLau9McgfIwcNZqreFcHAOGBj
Ok60leaVq8vHXDk3U0pjME8IklJJe6AdiTCp1S/zGhEuYpG7wRyewlre96W9nYWcrxLPPFhFthox
m3MahQGQ7KMdX9rFUG/Y9zMEUYvftRW3zBitoCsw8EZ6Zt4ks6n95HEOKrdcM+1vjC7RgnJyb3W9
qXcI8jeo6PUdUtc64Kc+04SkSgbEyZ8RbOKFZqS3StePtU284Ni2GT40R/oGIvqgyrQfMsmze6/G
z2dr6sYFU67WEKhmJJyP9mp0AFLHvNSMHwo6b/ssc6ipczM6NCt+1rYLOgizBtG8qJQ/L4u+heCu
fZOEIqIu2k8lJ+zFpMgZaic6lC5H2Wa1LUvy2YDiwWwNkQuvobf2V2+O7skNToIEIsx+DPOaVybd
ZRJnkjCdjn5I6Hxf5II0QMxb4U7qTBWN3hxrY1zm4XGwnHuWvssoxbVnNrNxkSXurius7ZzmOTRO
w943Hi7T2u336OZ/5A49lMkmxTALr814JMeKWMwdp4MHbRnEzxHj5VO/RM+vdqdftMENex1O/rXc
u5Khq4AJzbSPKcFKk35bkZT1qlNLhHfQInRycZEatL5yfFjRVFvXMRSLxNeY0ddbq8nUpV5NyWOU
VtTLIGU56xX2GLNOdjZvHbWGd5Made9toymj/gWV5JobbPUVIieSKT9XbSk4e4a8z6Idx9CnAe/Q
i2WiZa8EutbYTHU7XGQi7uN9HBEEe2yFxWJR1uEJfNQw7KyX1QTgHytL87LKQLfMT0jtYiBw3ewY
sAHHIYjblnNPr0tt5yKpv0P9CG8kp9lzxNfNMjXaEXg+kCTGGicTQ4vOQ7UbASLselrfGzMdzrqM
x5MFExoOanwyw5ScQAMCSWZ4cVDg9vCN0rM3Q2/eLYXoSPuz1Rn16iqgM4ikHzp8g1WCaGMK92ZZ
Giin8AoKtCyf2iFCZEgaGM+qIoVxrzLRT/t0qKjA7SWBEhouaxinnrY83dJlFZK1SLP7ZFYCwVVD
6F+ejgQLWBMMes9u6eZoCFS9CL5e4y03doiBU+nFVVK16QmZlLzpZcmIwg2j8ncWBeJYG2fZWZyt
A6da2oQb2qTXQ927P6LO6rdJmd62eWUQxUUIEv66VFwSAZ6B+Eyc1bvQ6SlWqGJJzoVr2Kd40jBQ
u4W2d4ZYwioatL2AXXITanQlKieKvocNcaWbKWn6r7PF6gUf0rgOrR7ezEAAQSXEk8xDVD6TwrpZ
WXgfjQK1QkzUc2IZxOtUWK0bccFuR+Ol14aTGzVuYE9tsx1juAkKwUFLuEXTzWeOhI9xhOOZK/cl
5xS6kRlduyrCmqK5NCOMWjwwjyDwp58OraS1Rt7e3pvMH5EuRtjZ2vfGTMt4U0qxx6p1gXsuiEV6
zg1xUkX4JYw47zXxsRrGJ5xgzKu9K30YSLfre2s3Lf2PIp7EFWrJn5WMvMuMpn0gHL3dIV50D5Xo
vnEKVBexizpQcZT8wVl9vBhsV90W0LaOSlkLYOvEJekzc/fDoL5TLFpYSMwfg8y9HeGCto/40w0K
kSQnmWr4Vopoj4xVXBELeAmLbvaRfALJLLU5MB1R7UwmuH7T0wkbLAKUcYH3AX1JGk6sVnJMt52L
eDa3dxj2u8uFhOmAXLZ578gaFOhk3EP+my6J3k6OWCvKM/Njm+JD2FfgLMVtRgfkhvTcrekNyVHr
wNNEIwzaDaCB5IK2vAHPAQ7FTxXm4KV6UT8DkkHinNESlv1SBfAgQEshRwc+ZUUBkQ5oRMcpZYdd
gVXTC7vKnmZO6XNPQ3FogVthwOhgM9KsAtmXps/xCwurwBTppz1ygo1loE3Zay1U1m3VtMUpXPfo
dt2ts5eNu37ZxO2XDd104JYe3JeNfnjZ9JeXAqCOQoqB6aUwYD5GkWCv9UK8Vg7/d9r634BnqGuF
kGiX/ufD1v8rf/w7PO0q+V49fWv/66jyb+UP9foA9u+/6c/zl/kbkWc62x6KGVgsK3fm3+cvA64e
yVMeNivLcRkZ/zUS559wdmfwLR0m1bQn/hyJkyFEEALxQQ6RMTr/xT9KChJrB+Cv/Zgusc6bzzfD
ss3w1+Vve9MhwLuoGMcBoIhH+mqpBQuidrMttR/hWwyNyTXIn1HF1P7iZU+VUOgtab/SAaTbmlR0
Mt0S0BgeYj8ck89DhWTl1UX+Rc3wvlWzfkXXRCBgIQ4gPm7NlHvdxECUz8Exi9q9W1AFM8qhoR0z
W5xj7wxl7Zs0pytb9YGKDLXJ2E7+Ya/ozy8gTc/gUnFeftdFMZCzuSPt+D34QLbpZRp8MiLpQhIc
Fjc1waociciMQRQYN1BtBd/j42uwdqPe3SXXpuYWEhKj7r5QGl+1i5RMjBbySLOnqmdrFs5DD54l
IXTu489551J5eRz4IJuPQS1B5+jdT2XYosCpVc2+rJAPdMRo7pyufqyawtt5swcxzAYCTNFhboZx
RD1AasBZm4xbC1cPhkDm0aZmht9USj5FOxn6nZmxy6zvxd6zpvbYl2ymbSGzrVajlcVv5qC1rutN
2w/dFq3rgsfCuGk0IhjikAs5N/bvKlRHvWXMLZMmvIhAnG80o6ZesZb4cg4/LaPkaS2Wh4qowJ2c
IFRTtD0LcwF9OORPpcaoL2/Dq8X1fuJVuDMX58vHV+5tXbteOF4JHZEHbeNV0vqun+gsJUOsBEWC
RVG+BbPye0oWrCvbzg8NSGsSCsbGaQbvb6SH71t8fLC0TND/ZOsYL8vI27ejwPZXK1Twe1fF+RZu
H/49yGQHA/kDNDpQO5AKBvzvBrnTMy90iS3fd9ySG5pTxuVxtOsJnPcth3cK6UoWeCHWn6oZSRbk
DM1h3qArTyfQ2H58zQy6SO8ea2njXPOIHSIU1dHficv03pPD7MT5niTKMkBVYZ0QWtS+OXh3ODGq
beYwnu/CroA06x4HUxxXAxmMTKgshX38YwGS066yzrZjU2aq3twgESDDAyv7xs5B9GBW+f7x9/7P
ey1tIF40rliQLOmxa7xekJh4aMw0+NpQuNdsFBYFgmuyPy50a9ceZU4H80Tmxt+9n7+4YAyUPJuu
2S/6ub3BgKf32nwfDqr2h97DNJN0Kvj4963N57erDXya1dTHyR44sf1O5F/miHo0MAn7eHbKvdPi
fm7D+OnjD3HlW4X/+spIJhlIIQ0HsASSsbeXsSpax4mRviNIyZ9DB6YMMzVETBEaG9DlvOSeNrK3
DB1oSrEgZLbyZxHJhTTPFCpFH7PvzJ4v5OD5BTrfbbxE+iFXPORZOho+4uPEN0uOtLY273QbTMs0
t8dk7N0gmzCUD2ItZmElbBN8BVu3svb6xPpmickAqOlp22qNAlGxJc7YKiEK9bRAvJA/LxtagvNC
0pmx8P+aadKIy4mgADEP25U95Vrs1XJnGLCmO4RHRo0tJOzSJ44uT1Zq3hb1El6EdeptpJk+twb0
UtXHjIy98qBNHuBi/O27HJUFha+76YEibTBAIYkYmOC+qGvKSHGcqfMne+AZlFn0CbvlsoOG/RDz
cCAwy/je5m2ZeGid4sHYmkb3SEQzTPd19Z7nTH2pV5u/1Fo3mKbS8DP4YnAkU/lN6MCjW8PBRzQm
TwT4uIHJKdOP7LzxkaZ8LVsj9aO+MO4G9N8bsujZiBdb2zp5+ixifvTL2KEo+L5R1921RvbTztg9
R1xnEWdmjmIs3GNfqy3luwgQhTEhb7VHRwfoIMPW873YdAMLPJ7fSxXvWMvKPYiAJ1NyOxCF0S1Q
7MD5jEuHnIUzKIj7VHgPjSoKXkPQVNDt4z3Fj8nGMkg/N7k1pSI6KFmY/Nb9NQXGPnTKJ1Ds9Ac5
LG00h4AOb+JuFvMqZ1rRnS4nk6bJn0uPpgGzPTQIw2kpsuecVJv9REpHEMH+36ixsDajeUkSiuG7
QPwCkFNXWQi9WjTsAcB/MlgVhN6FNc854dUaSGrqKxIRavBe2bMWaTyx3NnZiZ4RPfGvIKV+HjK6
tWVEQ8wAg0f4XvRcrf7ZMma1ZhboBmBQzoBYQI8ynkQzUTwBgsmve49MGnvQ3Hv8Wzsgx09oNKtD
POvtyQ6dBw5J/EbK07OdcmJ7uTFUBlc0L7tthmHMf3l2Z5QhL+hT+rx5x9Q/eXKB9BG2Zd6aLgD2
NW3JxeZP3z15ErgoGKXyLCGt5MEvp50zMd8XhU2LmGmnRyETNzpghfUVKHjChDBvVQcqwRooPnEf
LpflxM3qk7Xa0Pj7qqI2N27ME2QKbr/SeV3IlsdvaQzxedSxxYgxTPza5aGtuuTp5Yvzdali0Jjv
Uo09DVF2ezIsRGu9N3q7viM7qKmxzuUOuROV5zVbhsKG78xetl0a5yjsF4EaaoqkI/cinYYz7Qss
uRkKoKkLiRNnAdPUumA5dFAXfgePbvbHDaZPeWvkzWNVcy3sKX1uACuvNNinl+Wid7LnbqKOdgcu
Q5lGfADZF5suZwep7TmlndWpDXbbdMNhgHpooZ6iSnY4RosDA0AaA5ULRbxhVWKhysgHqh8tozq/
7E4wC5nZkie/s4QkIsxOn2c9BH2dVruCIokMo0VuW4YwNLqMgPX0Bw1Fqtz/Zu48duRWtjX9Kv0C
PGAwgm6amUxT3kkqaUKopF30Luj59Pdj7otuqUpQ4fag0YNzsAFJlVlkmLX+9RuLlVtSdDEgSD61
LeNDZfBzB85aOmZe0mQftJu/dNRX63E2lzwIGJ0350Optzle4q59Tie+W9I7kDbQtTW5fU+/AztG
sFUwF3+ZjSTdepK823zg5Z67iXgtWJxEGkxHWayVe3P+DWEjva5bokns+/UqcB3rvqv5Yud3UFv+
TVJgyGOWgIXZeOUBhm5xImTZgA/h+GIXQSX0s5kqcWXr9DWroxytFUsFQ4z535POUxwmNjrUarY5
UZ2FaGfhj7etN3fBZLB/U3YmEruFf+XhQM3cKCQzmreDNQ+D7aW6WqLS3Nkp+3Cql+nifBJD0qMQ
c8jcGRPYk9zxJBwtHiGO8D83/AuHb+JN+3biT72WFwA7o94nFSxPPLbQG2PBt/NsWHxoTaClmjyx
870iM75UuxbPmWPf42oezHE2H2S4AkszD3JdYdPCYRzXlOmcNHAoeFVjxaLTPgcP6hj4dAOnjzfw
aiQhOOe326b6OcGDhvRoTn26oPLQRPzAZqArOJ+/+Xo6hhiqHJicYRbsV9WxSdsO+ljyggG7xDOd
VW33bCB3ya4cjDdgVHHcpLXIdudyuE/Ile5xlLk2wnz+hFkIQaj44OEjQnFlThkYF2ul7IqX1Itf
AROfCJWYuTA0eoCBR73eNqHPuZh1bIEQ/iORUA5+Mlj/QoXKsULsdAYQAwOzr8tm7w5MLJSjE8IU
eKq2WOtz290DzcfMlCouPOhwN5ySzWWi4u6kxhIqqw2VdJLxtOvF4u+zfvRwRvbh8AH/oPIb5xHD
ExtFOAORF5xPek05rZL9ILAu67ykPfhuTKkxJa9VUz2HwMX7ic7qh+Fny6PMU3iaZYbLYN09pmUT
Hehzkp2Fq9QzCCieAcVcUhHLZBf3gmGKXMwjM5K9vdAmDQTb8ARqXJNxIHIhYBYd2TYz/ogjovZs
bqqTtzZwWUyd3Cz6RopYYSgygWv60QsDNdKCXAtf8QzFO6yBdp/BJrtcNNupLjns1zYPwikpPCLh
/4AQ9wTKxEffKJqbxMYwfCrTZDtWeRfYqjAxKMV/c8ojRY1CRGiMw8sGQnu4Wqjg7UbB1g12vRFN
mR/NEPcA1Dinzm+ec2hwG7jGy2aQzng9SPB8jADbA6AgieWpCvn4lB/W8cOU6PnZS9lvEiH6ve7t
i7wavkV5NP6TQYk8Fo0X7sYpxNnKcn7U7hik0fyjnyieDYFMLzbMFi4LjitG08ELsqDXpRnREI7A
DjUkAAzTMythRpYgckvjdCvb0YRSgQ2a6dwZmF4gyKJMNJHczzoJMEjF9T++RgZ+mVScv/DxPjEr
vdAOFCAvKYj58o1/aofF5474s1qTsIKsN77bHadu2gh56hZ1D2PRIqvGxEBQZrsyYhuYKfmEOhHG
EQ93fAqngl27dj5LBunLhM3HYZu8iqny93FM/SRCThq87udPslPN+oYXrPK4gVTphK9jalRbS3j5
55KR9qVazOdzrrAh2ucyBOIoskb/iBZfcbyVfbA4Lo6XFUVwjBPfHqMwfTLp4bJNauB/dD7HlZFd
SZN7LuJwYOLfBQYThkNfa/7V2tHj0MBxINmmXk0hU5riXk4eDlIlHEHNaBUvc5YoDfNBjeOLP/Te
IcOxNPZYMaGPZaNRDhyaXAXr9xw8k3E/h1PrCNpCbuuNT5ndi/gls6tnExR6O9jmfbtgyt6ZLis0
bqcLIeJqk5guLCM3usN+86qeoWW3fbPHl1hftqalP/VG9jXlTosIHm6IMLkYNYeaNabZNXMQI/Co
qjat31Fdr8fpwlwCuJ0bb/C6ej/a3hMpby9wgq8oMKa7xZ2YEjfyutbUNTA2r5gSO/SNCDI6a8TE
cSoefWsMBite9h0zQY2kw7kBHY/vTC3qr4nJsy8pkwORuadcscLqnNWA43FFgcUzLfJViKrIyKug
bl9GRjI+FQ1+lNg+UXiu4FUSocjPsng7e5xrYUudgw5iYnosLQLM/PWQXsOih6Gm9m47hPgM62l0
hvoAyM0gk/ykPBKk+/TtCVbca2nErxG3vdbcQ21p30RynRWvNzrM0oQ7In1p1rUasUxuQoX+IKIm
oLm2glTOBs5WfIBa78xyrmAgrV3LMgEQoanJdn2knysoyduBGI/biMgM5tUmL7vsykPXkxc3g0xu
fDOfbjP89B6afki2hSkCIzIHyNsx1R0dfXC+5RBPllcJ0+ot1gQ49nu+uIpqPia3WMNTLJdvhXTj
nzqZsEOEEgAC0mN9UfXQZw1WE37+4fd8bPkpung1F9N8KaDlXeXceufVT7+JsSARGTSrr4AQ/Fa5
8+BNCfIA675kKHSEK2Hu0hpHP4AqWy349kX+cI0VH8Bmtt6BEeuzr0hTbqmhOBSi+h6JT8Fl5hMh
KIx0a5kxrq0cY4CRWVC4uNJldndh9EvCiVtfztYChZFh0maGI7BNobBuEsO6XTm2m14RlG3A6sW3
EVSK1c4V1/OKhlLdn+9ef2Kfxip8+nvjb/8JXgBjxLcILwPTPI+IfwEzh3RwhyidswOReDTiEsDW
7rrnpgYUTE1UJoshMn4L3nK3oDwhH7PnqKk/280Xr6mfTC8h1Sum0V3LjN4lpdRx3SemOXemNS1b
WbjGEfuQfhePmKTX43DnFAYGgV5HAdxFn85A5rlHcoX1M+mK+NUhYnWL4fI9fM0SY8BOXFmMZC6c
eiquVu0WTclalLr0QB0xmPRLGX4MnU3tZZji3yasF9J7YJAJz1Vfli1hLArTPlZUUmEvIsk6j7zw
lAkx/c8hciYCuDFA/MKkHlLW71AKlErGb+yUQ9jSU3ruGF60PYiEY1F04anxOTkfvOD4TB3ZbgI/
xw8g6j+AYh7hzK6jBKIq8Nzfv4LEHtFOrKw/pG7LDNha4mOrqZNip1Ho7FK9jR1IPkOeyA/gKvEH
GJH2fZUbSg4MsKTfP5qdTfJ75vcHr4Hja3Oo71L8DB+S0YEktdT1tx47hiA0F5jadnpXDcUA98M6
zHISz39f3e/nKbAbTFe4cmU3wJP7/bv0Vm/WmFtnB2z4jWAFDFTHlnbbCa6nre6TiNP17x+5/npv
4DrwUdtVjCdMQeH9+0fKsoMxBSjF+F6S40YKSdBE/JfIMXhr9bDBm2vc4TWZ4z01FMe/f/ofdjNz
Ar4AEuHzKOv3Ty94qJiKGt2h8SjGMgCdbUlD8cEK/8NjBWW2oCp64J7vxlTcphbsRsKVFgEDtV/Q
OOl0+obL703r51/nDlLx338v8adfTK4eauDbAnR/XXW/HFNNqSPKkqJDXpi2l5hzoPPolD5xJADl
jN4TQjU8HkzQM8uJXoopnw/DJOrNFDW4tQ7JzyX//Pfv5PzhTTNHdNCvwhx+t7jQ4enEN2v2WJZ+
q2p7/uff4jdDMVblU3Pz949bp4xvVhZ5Ei70UezkyN923wDBveUaDuFP7cFL3BuNTndXGnYZVCHp
uCZVM0Rh57vK0081Tva56X7SCdG6QzJekzrws/NGTFztZPlAQr9OZd99Ld+ybZY6W9s5j0R+eTPS
m+o5gsBEVs8ATpNTPDsNRw3yP65Myzr1VXMVA5J9gXNQ76F0tNx0eEQnRvUs9AQwRR2HK4RlbZKq
RAbpyJsRL+ZNl6Y/nPZodxg5LYoSBNWVbOU95mCvJN+hvYv6NDC6KIhdkBp3YczflcyW1qkj4kCY
I2ZO/HbRYQsr197aNEnlCcnVNEMDUcMKZa1ju/PFhr21Pv39lVnvn806SbYB8B0fV76381xfDFNH
Y1gfopB2YYbMsnU7zErzsQAXQ7e1Rf2WAB0UKOKGwTz/mkCrW5U3yCs9F6gWfd92STXqBLM3Attk
SjSsdfOSUZW26PuuV9tv4nxBQqPiw/PsbIHw+4Hm4sZhORjvwELGIPr3nQeWwTmvKTYpSpECkLK5
A1MboQxqrMyxIIid4gq5qg5ECpvLyJO9Hs36g2P1/eLHQRHNlGUxuTdd9WbsjK+RrAc3IvCCzEpr
5MFYrISkHJwPPsh6f9IwOsS5BEMlONfu25OGKUjYWHlWH8ISVDCl7hFztuyRjpWv+dKCcLigUsmK
LjdTvyYzYg1oYcO5RcMe7cY6frFo4ZOReZNb0O+hEHvl+WYBrCOgE5p38O0rHNEATnNgOCOkd/n7
wvvTS2OAxwDURk9Cxs2byXFJ52qhUasPcQu71cohT+G/io64peqELEeA8dj/XPulOQN+6pv4dS68
D06s9wekCy2CeeKanPX+msitvnVr+J8HU1X/SH8mq8ty+LBcYxA/f/Rp1vsJFgJ2LNeY+6KwQKv6
+0KVUKngt1uwtyioEFhX824dSy4trHWE5zYALgU19mRcEZ6Kbouleq4IAoABS3GvzOil9sR8natm
OQ403puMCNeNQkIJy7odrlM53v79Nb2/R/nGOCpQEDuc6G+JBNqeXDRabC3XIA2iauuOEAgQiN6k
fwLKNneDmX8wtPxDwc+nsSKw0DI5tt/upJzSYawaHHLDFGATGqyiEZ9QQldqwtawA0+FEk1H259w
XnAufQlQuWKG4O1GUFhEEyQlEELIoGjXEdsBECqxrCYVYt9QzdaSFjN2aLvRjD5bC/XWGRMpBY2T
xfh537nraZbY4LXr+EVZ5BcjzmZ1VjI+qgUXmCjDJg9flk95Yy0bQZDGphYOxsMMHfaxuxbz4YhJ
wTqhxGH1fhqBVM+zjSpHucfM7cfaCTtJx8dNJhOK8Js0iIuo63bc429T/t8cG47EnoWHS9DVWwlT
7S1JrBXHRjR38R32T4ACtC97C9/vDcAy+jdFk5v41guwOWi2zYsuR5iLY2/lQemQ3uMiyP/3rMc0
mNHojE4cSV0NGbuzvp5Hm1BAfTg/hb4oGHffxCkv4e+L8n0B63G+UrzCOMGXw35z3utIMYLVbnso
XS7jfsIFDIUxW0LFw2Wk/WLro038qrzQhUo4ZB/cmasC5k094VnKxWtbUbAL8Zbf468piyOM7YNJ
CMuusvR0hySX9MUcJFw2vvpc1naxTWScnXocIzEi5IacDHDsZP0vO8N2oDfdgkgNlil3FxOlld7u
zOqbKfqLbK6eDXz7tuf5A9CGQC3P8DoN4jDWz3a9TgMQIzBb8r2DWawY37TCuUud3OtmVJ/NnGBc
07/SA3JI2yGaZl45LxCCX/kfQ4/cMP9RbZofSg+CTeYybvz7S/pDZeGhDhQeOU3YtdjO+hR/qboG
ZnVlivT10DCkOA8ICrWOhAUToTphGy5dPqKyXk6TmZkYdlMxhMSlw5BaA6GAKM0e4pT25Zbb+j5f
z7fGeVLpkjAXr7+WTPR30cwswsXi/fD3b//+3IMMTEXBvieR612P1OOb0BKlRpqXpw4iZL64HhXZ
DBx5RqPwYP/g1HtXPLusKepTmjJoDlzsby5EnCjDWWd0gkDbxJ/W3WroxHV8nsW059fbMxQaOF9g
ckAa6dcx4NBhhCpxqgp0g2rThsyygarx0eHx9qI8fzki7ST7bWUNrX/+y8t0Zi9NSf/JDkncgNFp
vgO+BkwBeE/5+lT+/vj/8HHrFoepJAXNxLtrJ6tt1OVVdhjtddUSfj4bFFSqZe3QO37UEXtvq2Dk
ZIoTBUYnRDZB5/j7rxfrgWmjTqD0x4R6+AlGUTEpsbuJBARGTcQGjBkVSVJG3BmUoccE+cuR/Aci
GirlfhkVwfbp0OM729+22LwGjQOXV40DjG/26A50pb3Mvbo8+COuEXVXJlelTH3YKhDrk6Ujiyfh
hyeDhq1vGPfEs6antC8Foc5tszMINt2hKquP9DBEVxpVMu5UZKdbE0+H04SdCIhkE+ioUYcCG8wL
uBwGE5Xstp1NtaVtkweccHmGQidYlxop8T1ZdFvSJ+8XNBa7vPSQfMb8ATEIL6IGTBVj05OR41n7
Ig9TpLZ0auHq35tR0YEIamB1UogZ/GaFvICgasMDy/x05xRNuS9rhWd9qocRpkWZgZKF8iDdBof8
hO9g1GEEvvtYd+o2ihNrZ4AOX3qYhAH/LOIbLnnygFzK/mCjybeFOuJoijCMrmmIoeF5KzL1y1r2
I6yPjJxbHgaFdzz3PTKHNVK2JpNtaikUFOZt3TTlIaxHtZVkIgRWvb5A5OA7TyMmgdlDXe9qqPZJ
Hv/IrVTiE9KQoeojr8M3UiH3wp3V44DcqVKXe4YIaruiEntPLsbTXI3qyl9/fFp1t11sPUEXV6tb
BUwSu5dBrwvsPdPW+wBwent5QftjQ7GDqWM4aN4qiTk5BUkgmYdQmzC1eN4AEX2we98enuePcGEY
2hhwCdt884DpwmyAgMiDMJDWuwr5znbQa3B5vVg4/JBDMhvGR13R26KAD+XsVBQ39BMcG29OKJLM
nNSJtUsyuNsEDL80qXNmw9gtIwpcMtIzpN2eKm2GJMKTaPb3E0u8re1dyT0Hz48CHjwVxOX3VTU3
BZr4onL3vVPjjTGlLW9bLrs0XT8wtP1T7XfegdPuCdghO+TKGT79/TucGXC/NsLn7wBEbtHLQPpd
CeK/rmy2jXYtbTj71MmM3TA37RG3Mk0jvkaT6SHxt0lhtt8ncwlveJDqpppgnZad5RFk5S47Us9Q
p4wq3fc4DD+brcWjbFqqu7jeF3jRPhAj1J5s7fLrdDHht41yrtx6bD5bEayEzYTI9jD63Z10CW6J
ByP/oPiyLX6H335HClggU0dKLHYld/Pvv+NM4pdquEL3PbvqapR62pt1JLY+rikX51/Cx5r1zhwj
d7UWIfe4WfC3Wsxllwu4Iwsl2E6CRaBJDaOjH8UeyqLUYF+bLR7U1msNF+NoEPC27YmT2SWRvM8w
kQhqjQh0WeL2mDdImZS9eAeHrC6m2jg7rzZO9uLge+R0Cwyfap2xl8a+qPG80qutO67r+0w3LRLc
xcOCaoBiEUcPs2EbWycc87t5qT8vOpUcQv2FPfZ8WWXmq8vVcG0lbvdsVOXPvy8Z1NfvHycgPJxK
FyhYvu21at8PCRmBoBFlGuykN/SWvLSrJBofC+zR8S9WAsNsoTaJQ3KoBeK1Te3aO2aYGm+MBPQq
Y76MbTfbLCUR/BKdj/m9mVOX8bK/XPJTnKthqHomwqo8AiT1Gx66cyA79MeS1iSnpCFxLx2UPbtr
1b6xmhJSn6W3hlN97vO53w+TQYDbiKP3oj+qbNS700oJem52rERMroBLf19QadIh5bVyey8GLm8P
jcI3axoZgvHFQ25Qzwr6CoOVbkRSLI0Ch/eliS/xCPJIhEiILIvJxC3yimD7aKV3JGy7DC9zom7s
lATbsWZhOpGxI21m2ZmaNTLjkLQVCRmJvemJYNb9YZpjAZdAPY6DfFaGQJ5FQEsYJz/pdXrSF3R/
Sbq8e4wgbVxHZeLdddSTQZx7TeAPOe14Gde7Ypy6gwM2cFCM/PYMJlnoCHqR3+XyAwznT2uHyYUC
9Obse1cUYlEWM6Nk7aCzf0Vt4N2te0X3pIuPIho+gHHddzeX4hVJGGoguRYhFm8K5KIHqzL7jhMW
OtUuZQ79DLEsvsS6TOC+V0x7iXD+Jna6+NLyNAeepvwSIw99GhoqeLKZtkwTvwx+eDVGznW42ASX
wfKZnIsZ0eiumdnXQwrllb9LWt/qd+azLnXK9WGN7GbK9teqbZZ7a7XzEg1pkaKq2iP+PILJ4VRe
pa3pBBnOSPsYSvynccj1AwP/cCeseCB9OFkQL8PTyJQA4nKWJogMWhvIXP6Jiex9hz7m6GdEHxeL
32OzX7pXGnXF9WhyLLd1lu3b9eswMc3XQnz4ZM+srXbgmsG7yCu2tuWmhEB17MLOIJ/LrEwFtmZ+
w7EuhyIjGGfHJODtfV0AOw+RsW94kOidhRPEYEFUoGyI5YOq4A+rhUUCFnM2j+CW/H2ftY5D5GQE
K9bTkHJSm+ena5vLqVJoO202xN+Ptvefx1QRRjolFo26/bZLd7ISZvBS2fu8wJlgqNkN0Ob8E5wj
klMX0sj+/nnifWFJ23Y2labhZZjnr9/ol8LSg97WWFGk9vCYZJDMMEOF8JyrpGAQVS5mfDn5OCRF
LblsaImPmG/yHtFdBlXB5nfHklHA6Ibbic6Z6AwuKnPgVZuVQsLsiu5QN/wqiVPph6LluLbL9XK3
Q83Nk+SoGavv83qMRKUdwrhm0Tki/w5/sQlSB1ZoWqGKj8Amn7CDbk+L413nQ5ztmTK8Njj075bR
fs3c/LsV890NXL72sxcul+BaVoD2F2Cl0k8ExHBSGZz856u1zii1tBfFzzDKJI5kEO4FJF84Iuwm
3+eWjFmClxVC4suxU92hctbbFHcMHNmoS7KEe6Yv+mVjrnt1tjg/dNHPpAxzvmUD63xpWOKZxi8T
Vjx3T8axizFb8znBSGjPc5MYgfGFatetdiAuy843YqYAM+7r//5pznrHs9nYa9egm0cL2+963Gu2
E9SCzbzeumlstSeVZC6bheMiESP1QDfhWIld+CnuTO9aNAzwexwGT34XeccWL6LrMuavmBEVRBn6
WG5UkL/hfHcHbAf1TSJgEZHUWnEv8GsaRM3eDMaCEcgg2qCfK+eARslHoprw7HLbO+SL88mZ3R8F
fN0tKV7Wid05kJOayYATjFVsz4hsm5ySJaGMPm933+HxwTTlEwxugdqn0okLnn/sy46mnddxXu3/
z1x2/j9M3hKkYwlnpZf8RdOp+/L7j/h7/r/u9Pef/7Txr0rO//MD/lvK6f6HPC18ozxp2Zhirx6/
/y3lFP9BB6RQJ4q3WVz+f7hPHf62hVpTMd7530pOy/kPk1zMkPlxIDGoG/8n5sY0Fm9KPygQ8MtR
jCIE82zAj9+PK9zX6jnhUjrphMjEY0+E7q3b2visyhCfgs009Xl6JHyx7jdureNuk3hlj8eGG1sn
cLE0wLZBn5a4tJ1rYaKQ2QwTOYEbOCXJ1yXBjWsTeShoAvTf0cVSOQhdbE0ON3iejG4q2y4SUgDm
+quTm6QsViIp9YbbPKKPxhvOC9B3up/bkSNVdC4JMl49BOY8WtDcPPVSL3OWBSEtCPNaconzXWnh
SrddRn+890WfJkcM3kiEtCZzto7NlGqkhMsA83hAaHEniYLHibCukX7MtoiuS1Oqe+q8OtxkzeBi
ApGOtb1tjIYILukV5muc4GgKXcJjpytlqIeS1E70aGERPTfot+CUeOH8QzpGd1enebgyLst+66U1
QUFSq+F7nLbTyfYwF0JM4iRf4X20Rx0qLu6xMk3mBI7ejYXlnIToYDWX1KyrjaCFLy1ihafOseZn
xkdetykXK+yYIFcYFnku7YJcNDYXak4x8qixn7nGk2e8HqfFuJRFDiVxUXjayqToxaPFHYWhDF5/
0Z5sCel/GbqyOc0NyWpB7pOkg81OZDWHeRJGlW/yqNPJqWlb27zFrGass6BZZOvvU3QQ3lOLPGSt
R5juhsgzn5l9oqWc8cTDkB7bi7hk8F2PAT9GXUpfNUcv84r5ViAiijAIjQk5jFyPyTNZ1eM2HXGV
FWFJYFVvTg9dYr6mczMHZQaNauScI/INdBgMydroRlhodVp8dojWvOFqjjeFTGykD6rbJ5mYYQ8i
P8Cp3xnh4Pq9+wiwehprQ6BsxGTwwsBdKVBp+EhpFd3IfPhi1ZLOxmEKyvqA0Gf/FEVxKgd9Gqeo
JBfdLNbZjrVdOcyBBMC7jixZXjgsm4dC1sbJmYZsm0rFoyOs6oDYaJVC1xe9A9kgMvBF85BJLqGH
BZ5J+oQiMYHQ5+YqjwnCs3D2+KmGNj94WGV+STq7vBkkZk39sIqo/AozfD8m6ndoo9vMq91A5n31
4GIQccMclfl8Zi/BwoRtJZSZ4aconx4zbJw2MwbDp7kfF3xnXH2B4Q0UA78Kd+RsYwVapai2U/nY
VCKjYIoQ40ZWuHfwRAlUOWYb+FRiM+CDlYiuv26YDzfw2EFa0tnun/K4vhtqDbPFXIj9RF9C9Rx3
t2GMV5O9zB21Cowu0pmhVllcY5iWzsMDTT/Bny4mXWX9T98TNwu/YmOHyFPyrusI9Wzd265jl0We
AVGPP2G2nZXPoLk1h5F8UgPrf8ax1S7Cn7mID6Iv/TtuWvMfnZJtrqv6snbcHlCTVFfTJ2hMZ9Or
W3aXOGuZ22Y0ePO1LLYGXrBkkWLGu+R9B73BRsktydqTCc3HMlftVRobLqKwIt/S6E/b0XXh4s72
8mzwvfdpGi70Zao5SALbr3F3gRHuGeMj/OJHpwvTi3w1y4Z+OtAdajfw1KSCTE7lvW6TNhC4OmwY
BS838JZ6RV7XRJKqCHG4Aqjtd05K/NBWrQHec94YJMuG1vw5SbtqM8twvPH9rA6czM0CP7btH12j
X+tGyp3Ze83F5IRyj9u1H9DUJ1vC0oo7m6gvFHeYAU8wQ1+quiz3Jr0rvzxRd3eqMyPIuWQLsRI4
CUmrbwN7brwv+I5FP+uMHPaPmoXzEO9XnAceBzNK2nJmwGvb8AaSryrdxGlsxifPaocO96OxcHZd
Us23LRqTT2PVKc64CmXBKBv8P3H5Kp/KxphBT3Lxs48aP70CZcVwOutsOAzWaqKp17cPeV9wTY0m
/vp40IY00Ax4iZouPRGf7L7wxtsJ/T5ZTNkyfm4dmT3MqJBkDrzrDPZlnSze9bL02V3sYaypMPBt
odpLSaab1bUv8KLXwix2vmTtjFVSmc1Q+lz0yhj88tM3oYtMwQ+z9jSO7nzoOd8vl8iY9nmM/GSR
w3Rk8u5f+DPgOSZPy0bmKMiAF7rPBI3UO4fQLiTwAOmUshj/dtQhDKFtLKYn7i0MwUDioTKupl3L
fPQcbVTQifBazQ+QWEktmZDeHbU528WVqxIv8LUTbZi4Gf/A8Jov2tZSJ+xommWrlWk8YHtSB1PV
2TjEt/KulXH0iOI7WKSmf0gwYxflskpkU1HdFj7mvh4c81sosvaX0qhxe5ZeQ24ablxxh/dsZDIw
rc2428vIe4xtr9y2KETT+XLwu+9VJw59jELBApO/qdOXYaCLNoR3VQn6Gxugc8dEqn3A/g/dWMWD
o97Ylj1u5BuQdeNI6F3ynXIdDjdpi5veHS46o3ywxj65icMihvwtnTti2Y8u4OyJayUDg3Lyz9qt
CaZuwchPi9vTe8x1OwSrocqam14+pzNEA9OqX6YxtrdaK/RKCxJcwdq8bdxGPCaR/cOFqvBQxew8
WCz9TYtvbrTHzqc1th4N23LyeqGINh1wff6Zz6p+Bg8GI/My1ydhRg32Tb3Ug8WhbNvTF3/B9nbn
F2b9fYan87UL6bIebTyLSr6f28xbh7HGVyGj+MarO3mTxKXzMqahu0p8mCZEpCu+0Oph6Vo4w7gt
RWcffIMgKjd2EWwWqfMo8Zv+IWFfbHCPwtO0nPoYm99sOdhEf2LE1NvXRKzq677q/YFZLeHoduFF
D6bq1HWect40zcg935M34CiSQB3H8J4akI6NSqTznaoW92qoBZE4jmaTX2BIayCfQ1VjbtrcyB7G
shnHLWMumQSmzhKTBmjlxikKDrxfWT3NPpumeoc7kgNzUi99s2VuGt0UXeTzOK2Ua9+Fxs4EuXmY
q7T4suLJ//SV0x8pvTryF2XFTKduUowSmfSwEfryWM/+wunnIbYLRmb2nx0bzUY2Z/KmUsXwEKW+
/9y3dM5JgWFXo8PoYTEySh5p6vKRr5E9iWXh7TYJV9OicvPC8cbhMm6UjUDca92rOMuHcqvxqA0w
xWgDS1tfZ5RSFwAvqCfMOUu/5l3iPs/h+IrDlYHFoRiGozDLvYUZHyeWndpYy83TN7hZOiYTFVoU
MUte8R1t6/AoMCJ8DieX9E2rGPCojlrLw5QKAdsRZEh+WzJ0xFxKxldybdOHRIT+97ptpiehVugK
0D0Dwrda6pJSkKKXmkMegEFb0UZUWb9P5OL86B2VHmsDO/dAgpdPgd1nPfdqBWiMl2I3fzM9bdzA
sEMLWIap9DdWGWaXhkqba9W7484k0vSnWWh0B2bXel/o2DEmSn3LkLhiWxGdBq7fz1Y/ziQ71lNS
bGtDMxntuCy+gh8Vj/boZacR734483AW0eEoQDAVlhhT+FRim3Hw2wsOPYxezHmY8O0KG2y97Gm0
vnUu+fHHSY3xy5xWNM0FHk8kURDq0lghIpo8c9vl0qPGNkWdRZfzxPGyh3Xi/oxiuP5h4vQXcWrp
7MBcavmMbMzCs7EjTRL3UeNT2drxXeeU3ktFhsIjij5AxnVJ0jxlU84iiNiEeBsDPmLN1aitBpu6
QjBDsBNaZfqfqRixL+uiIt8AW0d3SAeWp85MjNs5nTjsXXP1G5uW3Hjt8ExDTlZY2Hi2rWnfLH4C
iMdQc7huELphtiXlCzDjjEYvtZp/yNTMTqJxQgJQGDQ/lxPI9T6Do4rfilKvVjLgTwdY1wRFlyC0
bxJ3CkLiJIeNTrPms4DtuGaGT0UAkcSrNlyiY+Bn3rzGprQTs7546S5bnfq3gJX+A8+nvBk7QdXp
tPpr0Ywi8EIM53bM46waI9Om/lp0VddsCq/r9TY0EjsQ0TidtDLGgyw4AXapDXyyTSGrRPiNTdUt
ou/ktk8sbBYN2XqbUUUS73DS3La5mw/IktOss7ZxosCFSt35nxGNYVhqV+4ngSHYC32MrLBwTZTa
NOXszCyFRN/oeZoB2jo0WJjpP1um+TgYXfNUDA0Rwz3cn1ucHczqbsim+IjHuP0d6a/LH815d5NE
1nRq7JHkrclqn/tGtq9TZHrFzhgrUi9MVFuLSqPP85hzE2WDG5/IaYxh0bpefBkhTsv2FMLGNVZt
lr3vayy0YxAmRgYyxpfPsS7mUnYa18bcJOAFizlabe2NN8Qn61vyViDwEqWNZ0Ex4VKq2pPrDN5X
bHWmR025Ne0E8uMTrZIT7cUk8xMc/ELvu2YudkvP6kT7OFfubSOYv+yQEZhb/J/ng9mM8vswl/qE
IwHJCyKbNqPvzsiMtBrJC1Y1FVgMOBlt/MaY7gxN+nSS2+MPV0bdz6jODShb/8XemfW2bm7v/asE
56JXpcF5+LfnAJWoyZZt2ZbHG0KeOM8zP31/lO3E9t5JduKNNgVqHJwgkU2J1Eu+az3rGQIzLhAe
NmPFynNiRzvbIF4itGIKpz+3G+JiACC01qAsCvortw0iacIlJrjHsrKAXjrz8PqIm5DyN+fG7qcu
yay2YJj5KhjqaqtqUSDhCdGBbIuRQr60i5p/AgUkPzYFtVswxBv143V3k6WKE57GAl6RlEHjczPz
xV6xeZ4r2DYwstoQzUgV0NAJ+4suV3vqC+wI8b2gKoIII6cz2NstizmyhkmWV+7DUAzKUWliljpD
ZoKloRW7oWvHTB6P4F3l+KW2pOcetlEj4KmKtbo3Qzva32UWZZtYB/Fll1v5kxa25koUrORa00Lv
Chu3up80stguWlGQVqkEoKrrXb3qE8+c4g1cP4dS29MRQ5tE/BoTiDLNS7Oxewn7yKrThAVbUm4z
Y6CPE2nGYtmgzXcBUyCIGdqDCld+1PVl2nawJJh/Mk2ka+mHBryGeR8xSMISZLhoul48iUBnbJnY
h4nllB1B4l2Qnpe65TykQwZfXivyi0jsevbssqzndVoJ9IuV4p8PgFIMyr3oWrWE5iQi8XqbZkYC
H2xABsW1Fk99A4adhbnmcRmJ2mHDDb/tK0r/Qoj6pWt0OEz5HR62ppGcanKhbVn2VMKBeiiBaq86
yalu3KpRj2JdGo6MQYJBqin1CnY+PgyVkizkMJ+UhnZBTV6cQdvOjzBagP9TK+ky1H39VuSbu3eU
0devEbV546sk+AxSuM7qxN+URk9UBIJXeMyxO2llcIbSkd1nU/UuHUh/SxVz0riICEYxrHaa0meS
kqMVZL9Ut1aDPwnGpe3C8qxixsgI1T4RPJicmtcWDyzg5axdaaX/IBlMBkArMFsrgmwC5516QK4P
ZSwElzrxrkeOGZAsnXijb3AX3cEGTo4HFeNmS6FFYHcolxBYqiUzXOJoK5KQOZ9ybviqYsNDtFI2
z3fg6OalXXsfY/YNK0LUVEjqjONVnMElSf80XBV4/CYtD5KV3PgyZedYpZlK6p5kbaK2U40l1E9h
IkiTrFaw4elrY4WxnPOnirdvBt3wzHGS1UZslX8o5idtSlE7CEolo1v1hY6HaVndA423eAM1qlWe
mmYi6ZtQRC4/wwilPW/6lP4Px4mK8WzD/e2pzVXbYUt+3fRy4c5jTHklTAe0ON/pGoxgWy0F7TpH
hbthqM6V15XoxszJwlX2gFzcNtK9gTc0JuF0jdfAH6QwV5VyITet8FB4DoV3bbqXhogHK14nLobQ
vjKK4Rr12BJ9QAEMF67NwmWh+F53Rsx6gIsL0p9ZP4jhEdYDha30qUIhobinLbLbaQVd6dww4v4I
brGCIb/Ldpho0VzpohtZScWzSnYPjVYyp/IIWhojfJntkUyUITwhBfjehP9wa51ne9jT3UOgkL3E
52wPjMpqbjxi32RuOnI3zgd3kK4hEub5JMeIBvhrLNi7SqvxF3NNnwzfqLvEp4d1Gu2re2lf6Vv7
qp+4dTqA0Yz3AeNunp1MwE6DfZ8gVamydJAGTCq0kjJUsrGdAE3Sd1AYookWWuZKcORLBiT1Kutw
ZsbmXJuFQ69NhMBKR74CPQtcBNoXc+xk4rGnQWTPv459DmGblTczB/bnIO3x7pBaOqKxNzLHLskj
StUuslhbyHkBRjkiolOeJsJ9tG+yurHfIshXv7fGHkweuzFMv7PbHJeKfgqWQ7uWWZ48XOhaGd5q
cpTtSHUWMTbFj6gjxzTnImlppJ1UhOt5i5ZAeNiCVp7dFE6mJ48CNsD+zNNq97lSkC1t/vh+lb+R
ZQC34FiIPFBmPiGZ8ifuFl7cQYNnRb3yqbWOM6FzMa/xc7sslHCVxKK5ys0ibqdOnTqzrkhPzSh1
1l5HsNZE0FsUsJWbg6YNgmuDACQYdxNccU7Xkya2Ck56w8g6ayaur+QXaovNQyaTZ+72fosqtzuF
aHhKtgqyp7iVmrWEoK5ioNA5D/A+lTnGkjqW4Hl4htNaB6SvB4eKLl2QaASV0dlgUYc423EhZCjO
XBLdC+5x5QSV8DGNGfJsQRUbnngiKb/gdTVbdm7qS8/PNTw3dApU9g5x2WRGtNH1QNyg2YDLl6qa
u4V6lixcbHdwj66FvYd5C/aGJ9YJD5d8YxYlhixUMpWtgS2TsotFZDPTuig8HHIxzqe1hKMDDXiW
PBp1CW0jNGsKSa3ayFZTXg1ui/Evts4jtyiyLdSpZGtEhnPrMVXAUJa8rWkbp8XcqUJv4SPTD9l1
VYOZRVDNA6MfncM1bjlVh4XYawXeBn0cNI+xg+cytrSis6ATTny7K61+JHpCMpwYdWMtdbFwzpzG
8u5jfH/gXbo+AWOJcN6BjIAU+ISn+1pzGAUwI2TRl06AFgdWJUVnFFjdESRZ4c7CC27G4Srmw2Zy
HvqBKYPzZvml2DvcAchMJ01bgZkxyfHmOkbliOK0Zt6jNLttZMnfCmSSXeEcnRBDych8mjY5j6au
Dc6GsnJtrCCVI42n1FQ1jIp8NtK5WhcDEwPL48tELBHEhJ4F6x15qXroK6Ia0cTozhqJlLjQCczh
vrYCZZ3F6QU+xtjbRAAU+n4ngtylnmHq7R63QxfFwDtiTcIDkllzk4QOZoHZOESS9vMkqerqYers
50ziOHIqQHUHZtrjJIoYG6ZSlt+TxKMn8r20n1pZzK/k/SSrhOoyZwBtXEX7SVdCRrs2gdU7Wjjw
9E5snm7ZrQu65y8VaEvuCcJkSZyN+9ijWrddQfctkwRYjdO2YBxoT7Ki4//pDBT9GNc6vMkjnO/a
VpNWsKpIbGvIHcBz3BqAmvCmCoNlYOqkcvYAGJpd+FJ6pNQK9US+x3S7Ed4NNekmNzOovZW7xSjs
hpBubhA5YDKEU3LuDDD4G8uYZ1Jaj58amxcmpUedx4ioFFJtmYV9ufvjB5X2eXaJBSAparKq4ogL
cW2cbb6jWogg8yGQqLGyXMwjrNM8LNZZc7Z/k7804z72H4q0TJ+r//lhYr1PlX1IkfL5NPz/2aYx
//v8Kx/+ovzP/mX3KbV31e7Dv8z2hsNn9VPRnz+VdVS9ZdaOv/mjL/7y9CO2xVx4qH5/7Fs89bAo
9t1d8Xm4/fqXL8NtQz/YR1KDzaPiU/WRRv0y3OYVg50D+J5vCJcBvrtXm2JFPMDtGNnOWBWOAnxA
/VebYl4iUQYPSR1Op4Ss5i/FxEjjNvVueqCO4joLj3FSgrGNROT/cX3Unm7EYhz0C70t8ssYTvBN
bjDhNWWHOXZgFd0tU4x7J5SKJ7NQkrt2nB/qjefVM2JziZ0np3NmaIJ1U0hNetjEmWtLph89apFb
X//1dfb9FfTQ/ddvi+zHluLiKT3ZxU/l/wuLkYIcJZUIxeH3GRdUVbuq8stv1uNvf/yyIE31YAzG
Qu1vKnz7cDrfFqQpHsAZHLOLEHeIkja+8roiZfVAEpHrs1jQKNEh/Ea3kAyCkFhFuBsDuMHnUv4K
3YJ1/mlJ6rSzLESCceWRL/mZFQ81EaesoMHXUE09ed5JZcEkm1EeIbVM8kE06HpncETJ12xcByc/
ZLz1YKud3AljbYI6wNLlddJK4SStGdJNaodxsWYY0UXot8JWkxxv5Xbp6F+SeEdFbIjk8mhGvACR
s2aGkoWAxaX32CjEJ2JLE5nkpFOIU1Uz+YC/zZbnoAM5cqVEBQGUdRPnAqc/07uU3K9iuHBrpQdk
WMKpq3H4aSivSZcsjjzTSqadSVzCvE+JY506ncvY1oh6wLsEnhUJDz1W/nU0iBeO5kc3Ste5F6lM
VaiLJBjlZu8eA/ADd/ZCM9yDfGl3Hb5EYKB1sWuZkyKRDVdaII/hzciSp2kgQQaAZJFsOrJfT7Mh
DGYJXjCTRO6OXLECkY09hNBKIVMKRu5UreGNwUOR7kegn5lhWsMfwGotXOcEKd+3OoMWqCeR9eim
gnuJ+6GCL79BJQGILsikjshNYleaCFCkhOpEVPxuggJbPgz4AqZ1yGihooI+gndy1fsJ5HpD7phR
DmXSkYWRiOl06PKEbpIczdEOzDiu9TbY+YkaP4myg+110fSZABjZQI0Trb5cg8GUEwRRAjVxPMCL
JrXDJS0yYSt3BQVuhqy37jH2CdZhB1Zy6+F/jS8q1GkRB0k/zSe4VehTRoAkdUaxSuSLKHtLpeR9
JAJ7G6h1rYlPo1vlzJO0gnDbFIsQKHuww5ekKtWPWZG03lxh2r2sfcFaGDU5klPZ1XukMTWzRUMx
mTpTfpeXFYyjDbWfunb0utx6iZfuYB16ZGBCMbGOKpelOAWlzB7yWOtvS8tLJVtDAEg5GxTZnVTD
FZkM0uhQEwRJcYF9irVRYTQ79pC11joI03ITezk9ppl4EhZLGIKdmXrSXZUqbCPcnkXhCSKyptmm
hImjaoTxvQ6RbgEhiddT2Wq3ZZIoMXPvGA/Fogq8ftmOEeLor7zkqAJj0VHItwuh6kBXvba9svQ2
O9eqdFgpUjLet2G+BLEVKNgznWRTUbJEopi1Lp86ohzeu9xc4586gJdqEUX5UvRxSZypDZGJjebr
mwjyf4y9Y9SJ127eizc0HUo/E/N0GElFfIEmBTuRqr2pYZeW4xhRikUrTZBRucuh9JikOvqTE8nD
besSpokbsRK3ykPaWJiEiWFQ3GtGB1EBgKa77Ygos/Pa6xBele2WajFbe5jlLkOMcg4TvMAwyXUr
Xjb8aJYz6rweSkP1wO7A3GRk2WDlVXpoiAMkCoUZHEmaWQJuo1DtdqazhH+64HMPZFcgd21ATCb0
ZsWizmHuD7LhXFkysTAJpkgW3FdLnwpSXTKVq4osn7ZunNt48yH4VgdflKbQ2eN0JjuhStiul/tP
QZ15l4PheUdiiMn/LK8UmWQyVW5vBG4UBN6yAl0+zPP6NlYCr+AWqUjOCv2BW3uItXwD6y3usVwO
cLyMhwwsXCD6tKKY8Cd1rdcneR721MRJShh3XJY3JfnLI5D6GOIHRq9e8JxuoogwGSv0mGPUAvOY
waLJqeQAJjeK8omF6+y16rjFWnE871ZqjCCaJFo8zGpZYDxhdRj5wnuKRVKC8sF4YIoXLd24ehBz
X4VxlFB1sJVoxNuBFj+qgjv6bxU1A/mkattjvyYuBGNXt9dIc2cWjrEx8a9TvN+Y/XOehFqT6+bh
N0cSqWKHolU+9WqZYvPYGRPAWXYZFXufIi7yQ0f3ExBwaiIEfZCJ0RFEYbWAxVV6yxTJ/Vz19Upc
xkNC/mgAvd2nM9U1QvNqiEecvUjSHEszf+4wTjgUq1S2pRLEdwKcwsPJipKLROB2gz1M0mjU5vmt
bzDdB90wTXxZC/mqN1Kwdz0P5bXopfIlWHx+gzbHPDSDyFUgqFfQKszMVU6xcU1OdVQCl3lvYBNp
BTrLx8C8X5n3mRTGduk3x71R6dDtO9W9gg4oxkSxG9KzmGOuccQn9BQbNgeEC8/szdsKRgR2MJFc
HnPfavHSwV9otH7R9C3PpmLdxFZw0mLMPFdMCW2oI0MA6IRiYA4g+IKHg3IkzYU89ddB7xjXRMy2
kyjt4tMwwJ47knN8HElB3+DtkEy9QZI2CJpT8pe8/Komx+wys5TMlvr6NhMNZVsBTW5C1LV2HQbK
MtdiccvQRXjCi7dzJrIr40WopMoqEANDGIdczjYWXVrh1N+mqShsnLTHYonIVJxPvSDcCIEMOVyF
fI67RaJVYPzomWa+mKCjRxg4WvwZgYr5bWR240qIlGwH6dPBd7R2gb6NsJ4SBt7CRrKMFe08w6+o
HR4iLD5tYchx7Urq1DtN9ahcx1ljzLJW9+/8ipEfUQ2Lrra6heOTl2vosb9z6l4lsq0Nz03I7wsh
h6ejNV4yz4XWxELblIUXA4K+9hRgU0gpxbGhxfFd5DXErZmS3JkzMQqlaA5YOBJWMh4uJdmWq9rz
q20+tOkyEQqPnEOxmFVlb3DPuYE/CQl1m4qlqmC8JRHQzbx8q7G1nKkCqW1o4NrQwRfb1GcpMU67
gfHjsVkSsDXjieCtmtTxTlyxkS9Etc42Uk0CL/2xZqxFt4FKoXl4iUQkui+AsuRFYHbmCRitW+Hz
5ogMsUQvOtYDqPYwD5zbmtnLeUV79FzkkWKwK1NKTFMv05SZlIcVqFRfCBnRlnUSbfwOOe1EA7xl
/44RIhdl5UP6YXp0LQ8w1Gm4s02YgZghmTZyuKulpOz0hqLZrgLXu9LxRi/mrWWmAmq0wjtS3YBI
QETNpIB5BjATk+m+XZHsUBLr0Qf6dYME+TKJ/eYcj5t8UYWxdNrKngypB8tH4kwEHg+IVdyFHkfV
LdOk9KxAmWLZslujA84xx9W9kHt1IKRrbfRKv0YK1ULiVIT6jAK2BTC2Gu/Gw1nJxYCoqVArh56y
FYMuv1bkINtYJXBKpxdkJNc6XFG2LbWztRyGH2ofHxpYHxuPKVOieIKmtj8RGic5tLJEXOAt1zU4
CVTYzZcGEdWDWUmI/tR+V3lVRhhcnAgztc+a+0AG5ZpbCuOqFixpGdRDe4aduoQf8HiWuWpgE6jm
DeMbY6sEkEpalBPX3JzA9bmfZBuzxZHWy+NLLYzOI4+sPnxty7UVeyr3LH5Y6H9IHiMEHVwOiLiy
E/StRE07unWdSQU7CNpjNyQ8F2XAZJQ0XwW6k68t5Ebn+Cbr5w044jHNS7Qu3T66EUwHNbgOa/oB
G2ePJHIBcU2HEvikM/WmgWBTdXem34v9YdopTb8MLakJD71ElghScN1+yUhJe3AiknMwdoH5lDCu
Rn6YwYiayIVpEdXlDkuJnesJI1X9yXWdgqjgIByCST1A+kD3zXc90RrFlxdyavmXkDDkOfTh4GYQ
CDNnlAb7kNmKxd7mNVcSqOG50cvRCWPNYTP4SvWk7DffwglGOeIAe651nfPe68v7LjXLY4PB+LaA
WYM7Pti4F2Mp5sFigLejmp4yEx2kY8wyetjog6ycwqiCcNK6rjfxfCjE0zLSrBrXbzUMl3UdjOBV
XvLQyFM4qSR3aTeiK+VQxvKqLDDKL9pJLorZgyrkFbathX+Mdic98+M2vy6swXssEYUsIxytrxpJ
7Idp13fuChfasppLLcD4NGbstRIsdRBWOH+IS9nwwUuh8EgTrfeqO48mOZp0RVWvfU+Js0WomxXm
PlIZrGkJmO4VrbzMOjEP8dwBf5Y0jzq0H1PevTrJMlvJ4oGYSEcjtx4WLV8dgq7DOA4ctFygdNFo
C51u4FgNyzpSxupGqYMFnqjB0tQSuIStIMnnLitz2Up6cm+mQ3w3dtkV7wB33K5VRbgQ66LexJFU
XOOG0K/w8I4pVdnwp6TYDNNMKjVeaURKDEFOscTts3VquRF534qXOtM0SoNdnEaYLBPQ6Z7KKWn3
ZPpkUBZDptVntRU/F6CXCrdLvMCBMIBAgDoBQ9I6nRbDPvClk2A39IK4RUNmnXdygGmpORDqDlVB
D4+CvKEgSRulPCx9zZRtfVDVHiqUni3LitlEoyW+QGvqBeOmjDhrWVQlXw1lvBhbEBC1tjis2JF2
fqh3+jTxndKZdKBj5SSBm6vaXlU5BPNp6KMGrNwxXil1kvqKAKLVRAx1nN9V76iUEZEWYTM8xqak
z4euw6qYMjLOZkbtFeY00kN/ZYXUZZ0bpsduAVdlImBIcJYTwnUZa2NPUZlahPMDu/gUqWhxquIa
uo5hES9lsUmWDUylVVL3Xg5ZO+6IKtZlccHIKl0JqBvuqsL08+mgD9ExWcK5vFKKYnCvjbqrKACN
FvD3/4NZP4KsjjJYEE/g1VHzozBCAwD6fVjL3j0Wu18AWn852QFt/bLcNU+R/wuZcb/Yv6bGQYF5
ry/67lu8orHKAeuPmd044gb8HMU+r2iseACuqgFuKQbDjj1O+wZ+Aceq6IIsXuBjYwT7KxwriwfA
pjrH43TGQ5p/Bfz6RhqpjqCcKmMlQdwV1qPWp7Fi7iDocLkRZ057iejt2NpKcxSyWPtAT3TQx0x9
bS6W58plAlMG6UlwWeb+3I+vna6yfQdiJe4YYhjfWQ5whYcNGCEXwtwwkRpkJqbU8coz7/uOmzNz
2Y7867q9k33MxJn3o0S/QJIBOaMnvLZAxX2Ymc8FiMzS0beNfOI+EotLe7ZGHDFJ2uO0qKeO/hwn
OCRjWggm4Es62FMVU7lJJ02c2D14T+T1i1gn5Rv+zbRDngu3RtSDYh5IlTtN6+ik8+4SGEF60t6T
03NZVuJZnA8epgL4V2tKn81KA3pr8lBFpzqTw0lNncEIErWyS/PAoIxo1daQN3R4F24E8KAU81HM
JKjxYcgmzY6/xpUWHW+WnWKgH05ytyDuGo9jppcRW3uXBcEEmOhJgyY4TXL1VgyEBV/TjAyAGY/n
SYB7jFqG817tp0WFrT8KJHIqjtE7bKAAnKA8eAgNfUP3hLK7Z5qeSfJV5/eXqYB9WMxAVKVjD0zm
aCPwzjCNo+LpskFiVlPUlcSzmP5JXjI07/5EFk6qyydgdbzvGFuLBlo6HLk++0OHjVgCcgnWrBvi
y6LCoV5Vy03XoJlo9Rk8hdyODP2wCpNFlJ1qcbfQJPUI1Ke2e1EhIrhsqLbQYOp+tAwFce7X7Rya
IzWto2yUJp13nXahqBo2/0Fp54p/lCdHYq0uiiw5kvo5s84ZMAisseFMi7wlW8eskKyTiq8QsOFZ
hTuhhbcCl9nBGNwv4rkbIK6RPAaMlQ2lzsbkB4dKwyZ43nYLYZkN4qbQinmjqJseHy9ddY87Shqr
ixexV20DslFZkovBOlSlO53hNaS3w1wfTsQUDEdI3Rz4uINHxKpk75hnjb82k2Mjjxa4TSOSMe/j
ql9GEZkQLWS9WighW9fDesB4mGnzrs+0eUpIQswBJzW4Ff7z/SGPi2tZdsmZ38pFcYxubVlK7Tbp
7oZA644ySIO4QEjGbe4oNSaq1KUoa71MWugBS6TVUfLp1jJXikcR39tJgwTM7Zmxmk6q2RachqOc
PiDTh7t3T9fvMJE+m2bun85gSopI1yiOysqPE6EhFU1QzsSZ6Wn45Ar1Nc7/C6eQ7vLCmw5NcSgZ
xXnuhCdD3Zy6ZbEKSAX0aauksMwhRhrrUMPZKCgzAuStU0zGeXZV5yXAN/VAuAm8BueQ5E9Wt7q3
4n4/ydJ5crO+eYBzCqOg/ePnLjNwtEbCjjo3CtglsnLo0KYPkMqZPkeTItLo1j2T1LuGeHR9KcQ8
pHKphm0/7/Cbyr0Iw1ph0NDJtdRohsGadeVZKvtLNIMy4HGEKzwG106zUKJu4wf1Bcq4y0EZ2Yry
I3DmRazie6aYlZ16ELUdn3T0Qq/SWWeaPBob+Vms0aKB+Atr0EcGbAOIWpS1517TbFqzPsp0x8VB
JDn2GhTMum7dEesMfSpstkjUTxnBD4jFMoIBAm+mKdmWPu0ZjlA0NX39WReii1IPbvBvBx4vIwbM
z1nkL7wO38yET+Dmq6JUJ8Q1ToFurtpYWijA4ROjuG9J3e5hL6RxOysldCftVGxwbgzRpcBPbFGA
QBKdIdE/Jv5tA8cgwKRZpuQicxwiLvVvfR0U1WUukuOVqDdw6C9dvzuFzDPYTV0xDqmWSpBPc8Lk
8OO/0Lx2KboDqu/gwRGzi4hM5loGa5K53wMN+Za5IfJnlWbthp4F71PzIpZkCLAonGrRmlkS4jrg
FtcT53z1a7RxsxYhEFj+Na7Ny8aoZ1DYp1pP3vm6QmxW9tociA3SM7AcIUrDhaMrUzLdba8+srJw
FSTOdcElXODs6NMogJMm8cIM0am1ZAQUSvUcet4UxteGRHKbhvo2j6HD03DjQiVH0H8VNZ8EulFd
B7FxlroKsRp5DhjathNoDRtfCx7ySEW/KT/7ZrxyBOtaLYlTFtJHE4sJRlnJJIUrhBstf9GkmyoP
l8AV8yDNLuJWPw/d4EiV+9Ye6FryQeunAri5I1S2ldaYXrS245YJO9NNILdL5kfLeMy/I3kFwKqK
LxUvuXFLbd0VylWEAgrfwxttyLddXJOiE9Sr3DGeaQmPHMbDs7as9UkkuXD7dWNSk2JqF64ZkUQz
rEP4QyBzpyTBFAujEHcqEe4zRlDnqdLvyL6g4q+rG2jFHrInIDzf6jeFWl02g3nYGJnHgMWfCeEq
lLUryI1oYvDwl71gS9uMJXF9JHYdDuCDRTRJZBPHsBTazu5EcRPrrh1qzlUM5mMWiCdV61yvYYKH
twPJT6lZTy2gp7LxzxTA5J7VrgbZ8+ADoXPFus666HrlWs5xa60GwunzcwflT2g+W4N417nYNcvd
HLzqIVBJIY+htbmadu5YT1hoTgxrpgonhXmSSSeacprU50Hjbwoy22sFZFaBFsm8LDAviQIbA+im
KQF8CSzBBhhdDp5Cv18k5ByF5Y1hbVuNxq9TESI8W75nS/Jt7V4YbrzQzQJRw9k4qHHL9jytZZaL
cByIdHM+tlHDWnSiidGDabFH+bq6wtdLU+NZuJ8QwYjTT6X2wdIwZDWUm4pRpN5zX4fyjWlt4q6l
uzsTRyiCZ+V1TqTNtPY12/XvW0KI4voZjvKUJNT7TlGiOdSreyHTl37hLkNfemwgU01ry4sBCS27
x8+ICJrWlnu4NlZqrgIPiwgBZMM23fgKJ0t31sm9+igUsjQxBRxBmU/P23Q4YpK29dzcsIdA2lqh
cJv2/TWawi3RMpvBge2OVHaMnFTUlVuFMK0jM5lBM6vtpk0eCPNamIOxRFExAS4taAApp1yvuxBU
QucLEeoTAHoctLuK8QvsspXeOtKU6dlk0I37uGkOrdZ7Mvt6y1wwm+aBvAyC3rXTktKE+RLq+VEg
PDqFBE21jRTI61I8o1Bfp5nyjL5pGkgLt9IPVUxapLQ4DiFMUT4de7l20vfVgpmUDMseuxuQNA/H
Q02w29zyGZIW+A+qVjWLQij//90bHDkyasq0TLM2oRwQpmjWW1+Mb2hI4WKnXshqcM4VTzrk2kA/
Q/04kTOnn6RQvaZGgshIREOH4bF+8bOa1i9weMY/faX7fEPigQ3026ub1E+qbfr3fumPD/RjrCDF
GqN2PzSr+8+0pyT90SGiXeVX9ePTv/8lawejo6CGeaC4/6H7jdLEfX3Z5GUyzWkoX97o3bX5vbP/
4xP7lij17XE+fHLulqQaCVYuFv3vu+p9Q/Ej5/7pCO/OXT6Aiga3Yawsxx/O8d25G9YBiBXkE8TM
+58Xvsv/+Uuwe4z9xPbJxPQfqg+XAOszzIp+5CJ8Osa7i2AdwN6SrNFW+v3J6wdYTkPyUbF6H39e
3uefdPIsSnhoXzp5STxQiSSGJMSRPp69KpoyDCL95ez/b63+T1/bC1dw9fjvf0EdVQFjvnT2GNNg
XKwhrHg5SfHTvS8eaLrOHWJCexp/aOB5v3/SEtizIhXgr69dB+1AI2lCAmh7OVEO+G4xWNKBjKDO
pJ379eV/1nWAKT/aUn/tIigHxIkAOBo85t6dvWkcWLCMLDjvLz8vb/SPWwUqDfbXLoB5gG+FAij1
es9/vBsM44CLTDydhjH6+POPeyCST6EwJPjiZZC0cdeTKS3gUO5/PiwHQz0QNZYDzqMvr/7zlgNB
QS879adK7S9URZIKFVpUoam/Vgaf1oJ+IFE1UTP9Y5+MryzbLz8aFbzLsAPDu+zl62bPef9w4MnJ
JqlAKH15+WVD/gc9HEYt1FdLJGn0dpNxgxtp6ePPt6thDBtgivMPvSXGJwMu2198MsjyAbGVRE2N
/tXvFoGBKR5+VAoX+vUC7N/ohxbBD/zSry0XTKjocd9s+U/lO9XFn/7CW0fy7QFeO42xoBrbiQ+/
uO2zp5dDv1Rd47//50M9ti+F3r34Vhrt3+f1z19P8Nu3/vBeb2f19h+X/lOxKx48jNFo1PrXjznq
A/79L0aNHiPI7/kYEqP11h6Mb//vf334uO++/j88flnu4rfDjFeGpEWep7+d59877MT3dsXbYfYV
7L55/ephl7ui3yW79wdmijl2RV8+sh//vmMklsZstF99i8MddPtf/tsuzv7HL0e7EjrRhyvE/jLW
3F99l6NdkSBICj9epJdd8svHZp1Gnw68b8u+euD1Liy93WP79JS9XYH9XYo7L1vQV49+vHv0+u/f
Qxz/J6z200efj//2Qfd3EWOgn/BlburH+sF7Kor+w8ER00lv/+Hv3/qbOgl292/H2X9qgvl+wqc+
3wW7skKf9uHY8B5+wrEvfGyDPzywmBVqP+E73O5iP4Lm8Vi//9TUOjo171dX4GVVwR75zkP8tbH/
6vGvn8rql8lT4u6itw+7f+i+dIpfPfrxjoc5D6yq+LDGX4utrx59UQcc/QPS9WsF8+Vjpx8+8a89
01ePy678K/3nxH9I7/l2V2UEUah8f/1pGrCx+Amr/n/9oKHx71Ogfm2W/6gYOPaHtPhYDkiYBpHC
8xN22G3hZ2jA3l+f14P/hLv3+0Stb94LzOftv/395+ZIBRu/6rcj7XeqF2zqJ1ym410yXqfvHPwn
XKbjJxdX7F3/+VuAlTbial+9LeynyPPfDvPbZRnBmi8f+tf77RPdjjU0Kp6lr7/Fnyqqv3h3/YhG
9otvsd9nduEoDX+7Hvuv4RUf+Am11CFbwe8e/ycsoe0Tt5b7ucbXpdGcfWTdfHUdrXePXJ+344wX
h7UDsZK5lwwSBsNSUX7Cjfb959HfIY7+4Yr4Xr/5K2b/bRf6No773p99bLHH33iInnbFf/43AAAA
//8=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7F9BF693-8EA0-4A44-A03A-F8C5726672A9}">
          <cx:dataId val="0"/>
          <cx:layoutPr>
            <cx:geography cultureLanguage="en-US" cultureRegion="IN" attribution="Powered by Bing">
              <cx:geoCache provider="{E9337A44-BEBE-4D9F-B70C-5C5E7DAFC167}">
                <cx:binary>1Hxpb91IrvZfaeTzlbtUuwbTA7ylI8tr7DjO+kVwHEdbSSWpqrT9+ksn6YytcZKeg+DF7UY3Gj7H
oiiSD8l6SPmft/M/bvXdzfDb3OjW/uN2/uNZ4Vz3j99/t7fFXXNjD5rydjDWfHIHt6b53Xz6VN7e
/f5xuJnKNv8do5D+flvcDO5ufvavf4K0/M6cmdsbV5r2hb8blqs767WzP/juya9+u/nYlO2utG4o
b134x7Ojm2G5aW+e/XbXutIt10t398ezR7/07Lfft6L+47a/adDM+Y9wLY4OwkiGEWXPftOmzb9+
LPgBoQhTRCX6/A//85bPbxq47C/o8VmLm48fhztr4Tk+///BhY+Uhs+vnv12a3zr7m2Vg9n+eHbc
fizhSUtr4i9fxOZe4+Pnnx/x98dW/tc/Nx/AQ28+eeCIrYV+9tV/+OGVcxAtl8PNxztb/GmaX+AN
fhBhwngYfrE6Ch95RaIDxjlhWJLo8z/kz1t/8cpf1upp32wu33jo1eXfykOnd8ON/oVACdEBpZEU
QtBHPgGkUCQxpyH/4jP82Cc/1+NpZ/x53cYLp2d/Ky+c3+UFuGH5hY7A7IARRkMivoIgeuSPKDzA
QnApEP+CEfj6S7L8gpG/pNHTLnlw6cYr538vr+zudFH+aZZfkLXkAaeERIh/hcDjrCXEQRgyKiQL
v3hkU0t+qs3T3vh62cYTu7+XJ1QJXcMv9AQ74CICQzPyJRk99oSEr1HEOY02Seqnajztgq+XbVyg
/l6l/M2ddb+puza/0b/QEeRAQo5iSIhH2UmKg0hgHtE/cxe0XQ+z019U5ml3PLp445Q36m9VN1Lz
CytGyA4IJ5hEWH4rCQ97XXqAGPiEY/zl641PfqLL0774fNHGB+n/+1v54PRmaG/cTf0rPUEPRIgo
phQ/lZ+glwohf0H2erq//UsaPe2PB5duvHL69/LKCRSMurhpP/6ZOH5B/SYHHM4cOPrzWCEf5yxo
uKC9JZh/hQ80wA9z1l/S6GmvPLh045WTo78VVs5vwC03tnDDr0RLdEAZRpKw6HtoQTIimH7Napu8
9Rd1etozjy7e+Ob8/7ZvnqYRvkTsF7A8+o3/ljDBB3AAZwjLrykMWqmHxSS6rzVcIMK++Azq/0Ow
fCU1vq/N0+74etkjxf9vMySprwAR7s+n/wVZCh/wCPP7PPXY4uEBi8DecAb/Vt0fWvwvKPK0zb9d
uAn/9OT/b2r6Po31jdjbQZ1OPjOCD5isH3/7+ZmBptxc+jVYn3TXF6sef/zjmYBygDCcJTAEO8KY
EAjzb7zjvchHQX928/Gm/kaTfVfA3Y11fzwDkotgCRgK79tkyH1Qbibo0eGuGE7+IZwyJdCVJMSQ
71ozuOKPZ0QcQKctGSI0FBEc/uEra/znrwCvREgaImgqCINz6DeG9tLoJTftNzt9/fm31jeXpmyd
BWUY1MLuy+/d6x3gkAoqEPwHn9/eXAH9C78W/g/VztRh7YojPYnm0IPyXFXdlEex7Jp+VCRq11MR
tDL1ZLAnyDFxYrAsvBq5q55P3Ro41cqFNTsx6+E1CzL/3EZyed1VTUTjtpRtdzjUTa1VOfXRVdNV
9oWoEZ1jUTUSKSJWU/aqy/NgiLsxzBJLUGaUrXqcfxjlGHTHozH03GJGTvQcTjdjtrQfuqJmNhlo
1aWmaYdGrayM8liPlqOjaeH8/bDUuVHERPOSLsghpLDWY39sTZAFcb8UtNr5Lqz6k0ry8sXcCZbH
1Tr010z45qWXYt7x2o9ZPC8Df4eXurmc53AJ4nnE9RgP1ar1IV76givCCvSur5aaqIgEQxlHtRNX
c1uORrGKjLcVC+aTqGroSejz/IoFrE16WeKXmFX+DcoGdtkERXMlmpqngaPREdXdmo5obpMs4CI7
Gxknu8WwPiE5n3eYT4E8HP3QeJVjX9xG0wx+DLQtokRjPnrV1NN62gWcfJqycX6J+ny9K6emGVWW
d/27Fdf0IvJLFSaFrbIhbmiVvxJUj7PyvnGXRReh50tVzZOK5m5lyufLmNa6zGdV5eP0SoQ8eN1H
ZaEVnwR6JX1YLCri/VInZaDRpeQF/lCFU58Oq+zjELs6VzPK7WXT8sAo07WNSJoui04rUruzqi2G
XvVkaI9E1Zf2mDZ9NKg6bN37htbBsGPU27u8yeZrNpppUpa6LFTSBTIWmZfnphu4jQEfWu9cRHFa
95WNLljkdZ+4pWrnmEUjLdQSaFOeT6uYS9UsvaFJNbYBOWzoKu7aimR0V+ieZXFXtd2a8B7rMA6i
pjLKsaF7v1JdvEW4M4o35dxeNGxmowLULBaMoZvpiLXCuxgMO/u4pE0J9hs96EngRvOuZEtxxcKi
H8D6PH/bWJJ9KqtOLCeDxtldnXF3JKveh7edHlGjioGHY0qabIWQmpkzh2IghbkcNQ7PfFS0mcq0
lsfFNNlbz4s5CYbOtztUNvCzxTY4C4PS1MnoffSemnWtLl0xcq/onLHjalqaV73L6ceFreW7Oa8z
qYYoE92uLRsdh8iwwwoFNY1p2E7HXSEKo4oKmgZVBsDO7HDbaxkjU7swHqPcHy4RWjpVrIu8i8aB
411tozCRQrNKjbMTL5DP7PHIRzsq3fj5ZaAj+yEamH1TVQV6Tud1PWTeOrNriplL1Q3R+CIIqH0z
DYypgU3mdF3D/nDUQJwms6w6rsoxG5MGR65UgSlogrtWgy0ak5dqrcbuzdLY+rQNa1YkvOKWqCqj
5rh1+YxVmJFVMYjKSWk0mUIVbGRqrARPuDXjbbTquVdh5UUUu2V157rWyxWP1kIemsx0WaLZMqd9
HrA07DQ6Fl09tQqDG98NUb1+dIHNeYIdWs5R44JzL4r8PLKsLhQ2VFxNTVe+HMfAN0qPPDxGE1+P
qM2Gq1JO44XNMXcKT22wy2G89NaYQiTjOhWHNsuya+ch5cSkydfDqp70oljUlUngkG/jlcrqfVtO
5qLSA0tsn0eqiub52GfD+tEvxMh4KQoTpnVtiFB8XMD3vu4KouiUd+8609XvRJjj6SQiITExm8Wg
IIe7V+CdeVRoycML0kw2HrXrl5OAzZNVk7QkSo2szC4rA1/HyJKpg1itzAfNCL921EMQ9shHWOVT
X70PDe3esn6aItX3g9EKe+rYIeUrLmJTV3WrnBjWMsUd6l7bKqzqKyxN48AlBJJOjmi/I0GL8GlR
LWjajWD+NRGlC2bFu2Wcj7CeCD0e0GLJRdd3w3m+llmppjZa6p3IcfR86IX+MBd58akIBrPrLCqv
czxYrSJNoNwIXcu06rOqiHVuRJItYdfFeSvKI9oin+8C088ndOznQpEl0yd+Gvkas1E3NtbGmeeo
wqPdhbnNd6PM5sup68m6C5agTsemQMehy/xuFF7TeG5CNh/2hFRnZAgDFmPjyBHqSJGO88Xg5zVX
BQx6OzXYcT1bqq5LfNO0TKGeojrueVN9EH3dJkiT02kuJ68q7eEqAxq+6Iywb4iW04kLoOOI88Wx
QtkajZUyEyp3uRPmBGDDzJumXvpKUWePYFyROqtXrpZQv9NyiE4db6B/qPuIqqKN9ElBpjAHuAx9
DePgjCEFaaeFPMSCdAiviJxf4NBESqJx/aihGkChLt21brU8zVczx0uTyZi21l21mR8/USg+Kckd
OSERvxHDxHerj/TROpH8CDtrX5GZkSNZMwHQ1VorJ0N615dRNsZGj9GlD0NyWOvJz/EqZHcSZq5J
+FL6oywK116RshyG3VRW89lKenfW5gbtojGrzzWDRJ5UU9t3Kpxzs8RUhoFXjodZHRdjEKa2WqJK
rWVfH68wAL7CFdUnM4TamZSuOl2jkp76wstelZ23byOIs51lrbzlS4ZbxVvaX9BGy6u2QeKocq4N
Y9plmcJzgD9GEDC7zIbti76KatXrtaRJU+f0CDHXvUItKtPJg/tN1Bdvm6IWjZpwvVpV8hypUFTi
eVtH/DYsHUPJEE0m5oPr3rshYvHqenfdY2tv5zzsLrnj83k7VIuMp7rKn1tmRUKMKNKJodKqQHfE
Qc+FxftmJdUSG6/nV5yWdFBsavK7rOiLiyYLyFnlO9HEugEUqqlzIRRQ4/27kS4iEWMvXwaUjAgS
QJa/E6guepWX4/w+4EXwvvZ0KFXlqvl1F1U8LWQnLmBkQ06ieao/gb7Dpcjt8iFafWnU2i0W2rNy
0J0aB+muo2VqelXZiVU7kpcSK86W5YXMB3koFja9Xinnh6Jvmxs4pUGr0dl6ypWz2eRUNrh2iHFP
8hRcNZ2Fee4gO5TZ8KIcCO+hfeF1pdyqIVNhMzuddL4YyhNRBd6k3g1DdtwNDuU7Gc1cH+qwCJ/b
rqNvsJjGXGGL6uWwHJsxVPMgc6JKPMjTMhdrExs6W7cbp2goYrmilcQe9zyKs2Ua3k2uHKrdUBbI
xOWqs/OSY2J2zPHiGCIkWmODS3eTFwKK2sRkeFWPAuxvpaeTypvKH2HYGnlNadFfdb22tRrgPHRV
LTTajeGYxwFG4rS0TF6Es0d3ZdhLrSAKWpxA3W0hAWKvJ1XLgb1ctC+LpFygJVDTYIs2ycu1K3dh
AEeYS8maMTucRkaPhMbG7OqadhLKWyvJzkCpGM9xabtMgRfyPJ4jI1IeOnmlNe763RpNclUm0vRT
1QQR27VREL6KWLDclDJAH6XU3h+ZaYVKXg+D89CsVm2ret/PXayrqku0dUVcUJ1/wrkpr9zaVfES
dWF5CD3m2igqy2QVZnjhZWt3gxggRbVW8sMFurZqR+cQJ1EhJeQpX0vFuc1uoqnHV6iFFiOBrjcK
4qGJmE7mjs819Nc6+KR9s0KP5ofjaIUHV+vYm8Mga+dkEARgQqEu7yCyfZj0FTI3JOo7fFmNuU6y
kc8KfpovDdLdEredmbBC3ZAVCqIKx1nTF5eZrukxqWV+UaOmGdTCrQjhBIT7VQ1kkmMsQGT+qiop
6BQOpHvdTULaXR9l+pPRJb4aiF5qaHVqvtNZ73dBFaw74Wdw8jAHR44MLuEZ6fI4Q9ABqiUf0C5v
nUv8iiAWu7JmiqG8uyl0MJzW84qhwQ/X9ShwYfRpoSJb0ixoxHweVmVwPQYjSJGFZce5kDUcyeDM
iVNHfHZiIKZvFx1B07zSML+Cyt3liuAyOpWZaY87h+pOzbMhKQqsj8deVIcCakiSD7hPOC7qWbWV
WI9pVVQqQMInkQlG5Rfrz0FpekIJRm+hD+iTqI7awzosSQCg0UaJKVszFY29jiuRl7u5qv2VoT6w
qiHaWJX1uldtj8oXAq06CbuoyBWTETtFDYZ2itVZgnn2AfrUKEWAyQRO8jYBljN/j4fGfVgQYkQF
ZZjt8gXX73NrxIt8De2s4HRQnUwm0OkaNE285G6+nufscilc+C5EunjBygFwiWfRqoyz+UT243RE
O52fct7VYHdenshCR0U8i5Klpkb4TT+sAnJUafh9h96QwwKhMleC0q5RLq+gm61L9IFBijkqoS1N
agCOPZ9a7SGICByOh7GB3jUoK7fLyaqPjfHQRKOmNNcmh44XWjh+yflMX9LVkGPBbXBpLCPJxI1d
VF7x8boPunxSkHnxMc+lTMQ8FtcAvexdwfEKqS3zHaTHvITs4seoVLpFzfN26YoTkhX8cqSYD6qX
cikV4ag+ZwHxR0VZkOclXmepsraqLgbd58uOoSbYFciL46zJF7vLfOVeLliXr7z242UU5OwWsBte
hsUQ3fW2sIdDVGWN4ngpAhVMNHyDnYGuPqyrY9bz6lwg5GaFRuAyGgf5qvQeO+VlUx3r1hc73zZN
msm+UXUUzMe4490u03Q+DTQ8bC1AiMqCtoeWNTc8YZr4NwOUugLu1utDhEKQiZx+mWEtr13hg1ot
vsNWdcXED/u66uKC4PncmCAM4/vOhcVUFO112ITVIadjdWko/iTgMAhVua+t3c0+cGcLncXr+/KZ
jHUt2ys90+k1h6IMvlx7Iw/9aNzHms5L/D9wONdd1hJ9RBYGHY0e5nmHeGW8WpeCXaxQUvxORxWy
8WfG7Cu594iKujXdMpR58XVf8NuP/7o2Dfz7ea/t3x/erxv++6f0ztzvudjtL93f59tv/Xs37p6q
+7Yot6ECv+wsfocn/OGXj0jE24dbfX/SwfdcGvSPPyINHzHl337/C0cYiQMahgLoPAJdBzB+QAl/
4Qi5hH1GWDSRCIYmQNGTcEMSchZxWA36SizaLyQhPxAcwUxeCgzUJvDI+L8hCYGg/E+KkLEISMiH
FKHN5szUZcSPinAXsQs7ApH8jTR9gnz8ntz7zx9QjxEuR271LBI4a+hCreuyvCkwn78sSn7Zk/wv
xINXHoqvRFAv09yKBBilYbiCYzTKr/N5NZ9+rD6s+TxpFhiYPJQfNWstPZA0SYSZXV90YRMhVZCK
hQpRKAmKwvEhO/zxzb5nK3D/w5sBpcmrKW+B4rBEEmhDSD4os3D5/sfy7+ne/6CBwcfosXxoE1BX
RQuHVqaj52E40eblhCrEzxbp2jkNxApJGGiyDrZk9nC+hEh/+ECdRN0o7m846kjMJ6bwmY+p9UWZ
/PgG94KeeCJ5T3g/iC5ZrhNynrBkqq2YTvhCMhx3tcXFGXAtFT4PfQ1cRG/7dhEKaQosEmqLcYAp
4Y8eMLw33VMKbJh1OPLAcdkuLAG6d+xjiWUqSPipq0k/weEtn8YGGhMRnJkpD+vEQ2MsWxXkEjew
DPYjFb4TNPI+ch+YQOdLM2o2gQkkZjEZzCfBpvInz/c94ZusYACpkwSaIFkWK94isxiVjb662E/1
TW7QsiqBmAOWqobz+B0CZuOsDcraf6k+/21ukJvcYIKJdX3BWKKdGF8DPU3VnK1iv8wjN5lh0BPQ
L7hniTPBuiZoDsZhxztjxJ7qb7IBhgO6XHQF2QAaVDjJ3HdgwJQBlHb7mX+TDnC1BK2xXZC2ZhH8
0pawIvC6cS74Se78TvCIDfotHKPQNDOZriZskiWnwaDmsrbDTwx0H4RPYE9swB+ZmmqPlyw1gVyb
w2kIuzHR0xKWu74saLTnbTYQJ9RkcuoCkToHTeFRy02LkrUNgW7uSjfN+0FNbHDcm7HPyNzItAMy
57oeluKiFTy6/rGvv2erDZCnepbhBG1HioO5hJMynE3PcrqY/k3NZD3/xFTf8/j95w9yUSHzrpai
k+mg6XIcNCu6iPJw0OrHD/E98eSxeJOVCwLj8NSLHkO7Xs30HV9Nl+wnfoNoPwojJExw01GDB5zO
mwROhqLbU/sNnn1J2kUvlUypHWvwwSLnQFm0lOueN9jgGU4mrIcJnkyjsOnhIB2ydkoGOClPl3sZ
6L5xfehegRdiw2DmaWSL8jVQDPZyLvN++Yn+95H+BJ75Bs9NNAJ/53ORNtr2GcxIm96/Jv0aISCs
i0i8gIE44cf7PcsG1WIZYCccMZF2hLryyK1kjlRRNxPaD898g+e5XHru8CDS2uYdPbYNHqWq7onO
n9zg3ixPmWsD6SWvctRMEE99tnTDrsqJEDBdXkd+krusqZM5x0v7VjeSvPdtPrU/sdz3eh6+Qbme
80yYdYK8q+FAeVIENgNGcK0jaOukmyoKuwKuWse4LHjXHAJblIsdpxMxL0fkuP/J838nG/BNNlgy
DrxjHWRpIwK/I+UkUhg6kp8EY3gPy6fMix8HOxvdXPa4j1KC1sEka5iNLmHZuuqjLiJiuchtYz51
AZ2aI7rKlj2fCcHtORZSVm9ljWF0uV+obhKHbCsGxGBJ005klsR8je66eZ76/ZI236QNDRx3uMyV
SIegm9LchVSrnMj8417as03S8OHAZVXlNM27Wb5jUEqfWxQ0++XszxsvDyoOkPZtFQQiSpmGk0zs
Q9msypfDYn8SZd9BGdvkCVv2C8PA2qdumTJ8LOkwoA9zFwLiCgy8vGpLD0QbXnmX33bNavF+bmGb
/EGAoIMgGnjKZQbLHx0MQRrgjGiwZ7lgm/yx0rXuPR9E4nsWwnBszHcrN8FuP7dvkgTPItRW/bym
1ucuXVtRKT501U9y0HewzzbY5yEqghlKQ1rhsomxC6tdthi8Z1BtoA+nHiPD0qwphnOjQkX4ps3p
z7rW76m+QXPIu5bOOl/TXCzu3C8wz0t0X4TVnnGzgXNRedeRYVnTIGuiYzzO9S4jkqZ7uZVu0Ey6
kXWuBukuwzSeiLDKNmG5n+70HoQP0CxbvEoYYIHuDnYAauJHxWtB98uj2y042GoZ0JTZNe3DUh/a
qM1jmFathz+2zD1snqgXdIPXNmMFLKkEUzoF7A6OnfV4SF0Ns243Cb7nE2wgS0YxtlWdTSkB4F5F
zlRJSE2933GcbiDrWmiFppVPqaGMH8PMw++qpd0z3dANZEPX6EyulU9zq+lpqRtx3s16T9U3iIVC
ndV1SFzamyoL44FhG4tirovdj537HdDSDWhZlts6WIHm6dpyPqld7s58luk9QbWBLPCjwRjCEONw
8PlkX5IJSX3BBlir2y9uyAa1MAAb+xzmStAS+jWuO/ZuiZb2J4H/HduQDWhZBctiUsI2Vq+LUBHr
seqjyO+p+qb+kq6iOKvkCJYP3g0Y+rs2mrP93Eo2mK27dQgCy7+qTnGPFbtfldsraMgWrQyGXrII
xySagDTG99Lt/oa5d8eDXAlbO12mLUifK5gHell7mFjjak/dN2gtKJMGYQTSKYbFGqoPc9hX2C/N
E7xRHVYSZJmDcFjnaFItYCGjqPm8X29wP0R5aJjZEZHBuHtMmMsmmFKPsO/XZW5P3TdYbYoOt4Yg
n7Tj2qqpKO98tYb7Wf3+ZYGHqtsV9nRMMXnY9ymo4pS9C0aL9xS+wSnK2EBg/ukS0aN2Z+fyxnrY
Gtor1vEGpr2938aAqWlS8ahQvII5rx+w2FP6BqeCVEFeBhGoHvnw3MJ45DITud5vRHW/mv/Q6rOn
uKUgOV1D+DMqam0lZ7sAdo2/jkH/WyIab6CK+zlqfJeP6UJhh10FpGNpN2F3u5/tN1iFITsezNxA
Zc2shu1zG+5sXS3JftLxY+v4IetIDvPi1EXkfVjhF5aSF/uJ3iLVLlWzLIFLyyJ4Dunx3YLFnlwh
3uA0KstGhK1waTUVcucLdm3qzOyXBMINTtvaBkMkvU+D0pWwfCTOBO7RfsEebnAKY+Gps7MMElho
/lgusKvAmtO9DB5uUCrLCTaWq2BJQayFvT5s4aUGWI7N90u94QanY858UdPBpfCyE3pLHeQBZcs1
3K/TCDdA9b3GSGfGp40Z1p2ZxYeihIWy/WyzAWkmy16M5eBTtgxL3MCCNqzG/mzyei/kicPB/fLA
wxQTtbAy2QWNS+GVoOhc2jw810HWvdlP9Q1EscNugD/CBOFYwMYJrGa/FbLc06UbjK7UwOpMUft0
YCNRoZzf6V5e7qf3BqN0ovNUEpAdVPaa+uWcUXu+l2i0QaiZsgz2h3OXoCwI4qDKzsoV7ckPoA1C
Q1gBF2uAgwReMrtoFvFODoveL7WgDUSDAvr0wYBNdNG+MLk5zJpiv0yONuik3bSQGQj8xKzj0TDh
U8r2q6BoA8xugY1U08HZjjf5mTRz2g7ZfmNWtIFlqd1ceA9Kd82rdfSwtvd6vwjZQBLWnIZurcGJ
tKg/DHP0Qq58vzyFNnj0/VjPy8RdusBbC9fr4nBaeWJ3+ym+QSRps7mtysilNoBVAtzWR1EWvd1P
9gaRsHdvGfwRhCBhJXS3AeI3NCL7FTZYiXycBCGw+14jKMlFCXuvzNJgF0Vi3As48NeuHkuXdhSO
sjFIev4S3uSQwGLvYxMabRAJ74b0tC8Wl3oJyxwTsfBiQM+v9xO+weQE865laTObhEV3NGmY7fcE
9jD3E76B5eA9qgMNwqVml8R3tyVdhj2tssElvOS6oF5G8G5mQy4ZyJ79uK/sDTTDqRSEzCHQxpig
My/z6qSnM9/TKht0FpaOGvpZCBQGL7WsqHqlebFXg0WjDTbnCPbu4d0Ll85kcVWMaMbNDkMHVO6V
Wuh2haubGprBrMalOe1ugml8A8OHV3tFy3ZZayQEDZyAXbzP2a73NWziSiz26iOAEHoMz6EYBfDR
Myg+z5feoJMZlrD3i0W5QWjVCAS7ssSmsibnGhYO4e1Dgfez+Ha/yucD7Fz60aWo0y9oAIvjQ7FX
k0LlFp8saJecNDbFmOF4asIhDmn1aT93bgC6wETBysZZ2Gbg73I7n5SCvdxP9Aaf8+CyWuJgSOGN
MHiD0oj+sG3gBYz9pG/waeC1E3h1F6TDCGndtat5Lgisme8nfAPQ+5XruginITWwa3O/iz4Ep/Cy
wnK1n/hN/ZwCAlkR3l1O8bh8hDdkXsxWfthL9HabykHh+V/OrmRbTlzZfhFrgSQETCEzyTydfdyW
PWHZrrIEQjRCSMDXv513VOZWXb/FtBoOKRShiNBu5ADAfam4eLcMww1kkGP7cA+kclWqeNMyU4K7
Is/OC3IK2u7HsffeBWe9sWoyi5rKTA6FYuuLTn9Xdt7j5L+7KraHTPkA82A3JKaU2gHQbhIg+Uc+
LLlvyLwWx95/F6Sx6pZO9bEp25p+bSX7HAzqw7FH70J0AeKxBeffIP7ddHWTifLIsWNXdSzZRakg
EnQSSvDi4DtoF3SgIg2fjr35LkblMg7KhHIqY1Izf97ovDIIRLRSHTukk12cMilEOqcttuQSvNaa
fKjHY7049DB+PYnaOh7RMOPR1Zq92rB+U1F+6BqK7QFSbbqCseVWU9JKkzJIiX2NhK8PIX3ZHh9F
EhfGrsZOrMJtzVczlpQdRKcxvgtTvVSBXSZpys4NIZgwyWX04th0GKyHX5fcGjbPLMOSIz0+upU8
tvFyLIb4LjwzL9q5GYUpk0p0ebKtjxn4ksdOiz3SKcMuCReiTBn17i2NxicT2oPvvYtOU+N2Atoe
Yznx9HMdmddWjYeaOMZ3wVktDHThoTElx8rkGUDo+bjq9Fg+5LvItLQZgwbcY9zbyLEwRL3OQfbx
UFrZQ5HCEH1WF4djKWqqm9xjUHGew4AfW5g9FKlpMqDSmhVxk626SGfO37V1uB37onsokmtiXgFr
N5ZbBupmNLEXnKTHbs/ZHoY0Q5unj5ce26XPQPW/i/GoSeZp5tShGQ5u+H+NUWCBw0wsHdZeSJ8U
HYZnZVWx8dg9AtvDjVY1z6nR1VCmwaTGwvlB/5yzxB9sGmP26/tHmoTMZ8FQGglOoBa8ybFC8eXQ
ztwDjpJkWaBeEA7l3HJShBwgdoru91ieiXcRa1sg8CbaDeXEEmHzCJo939S6dOLg83cxC6Y8N37B
2vQSwja11R+XNjp25sX745T0XgfJjHXv0uG6TuF08W0vr4fWfY83ctTRdWj9UDZVvH0O+0pcIdY8
qGMLswccUeTJmKz4rFlXjdMlmVPK8rjqwfo/9v67YxWXcarvBoeVp5O/GZN+lGN7bDbP9pCjRGlI
BVgzlAmz72sxvXpl3x97792xKiA/QNtWjGXSZV+73ke5ZOx32Np7SP5D3b4HGo0YmaeQvhlKapr0
a4JLheustDu4ZXYnqw2DZd1o3JeI1CzngL7kUFtJzscWZheqZg1wR9/i6bFb5zyOhgfV/Q7F9J8S
9J8WZhenY70AXpeSvnRciSrHbXGDZJPUiyqEzoS66mH172c9tTc60YCXVsox/gCKWzK+ZVk8mfdZ
ovlV4V6yv0JBh3Eo2NQYxotlTEOfb6wZzUdoGgRzEa5jp771UgZjwVFYkhPUZ+R8ToZ5AQ04wpSs
4LilhnTQGKRNSZJFslvVQ0IKMlGYJvwRANm7XiLaTMmJJgue6dvabhcxZnIC245s80UTsmynyWna
fV1ASq/eWsaD5vsUxeNYphvJXGkW/N7TYLf43IQuTosuIZEq+JqI+SqiXmRPPO3ACwvHDVJqaeZz
B7r4bagns5VhDyG6i9etYydnmIjPLvEMI+xWOlaIdtA96tksW4vU1FA80n1tokffVU12a2lkWblh
tX0RU+VuG6j5L6ZzITux0LkNqlGm2t63UdMnx6oQtkuYeoEQkpppX/JY9pj6BDkRNDuWb/ZIL8qq
FYVkO5SS678qpt5XSX3svfc4Lyh4LEsL+ZEynqtyguxPFUfHhoN3Qca/X4/GDsiUCBOkEiLXC4j0
0L3JWijIHArZPcrLhIJyhUu7UpCmyRc1/uSNOVb07TFeDeitrktCyMCAzv8CNlh97anVx1IZ3dU0
kteQ9CJ8KoVR7ImhfgXyf7Zfjq3LLlEaLZxzg+tLaIvMn0w6bhjmd6k9uOy7TDl2NeSktqwvMwyV
85g0T3ITx5hmbA/yChHCMUuHvlyhxqZPfeibcoFsx8Euh+6CNOrqaAsodiQXkPw7k6mbtzwJYjWe
Di3+Hupl9eirQNq+xEXVTz+whziYjjE6GEl/Dadh9saNa9KXMsyAI7MTRDsLmjXk57F334Wri8eN
upkMZTtmW5on/Uhxxw7tj2NYDEh//PoDPLT8onARKBBgXpXPiW/OdV0fLBD2eK8BIjDNJnCE447G
FECU8WIIfFgeW5xdzPoQVOm47nqwatv2gVMX25yPhh/D9zOyi9qp6aDZ2PdIw92cPMiOhl/R067H
RsFkF7TJosdNT6hXMcpabhWr5jIJbXJw0+/qG0LbOavvp1NTa1FMfhT5bLU+lnD2kK/IQMJqQZ9c
BmtH/5JAm/+1aSicFoc+7B70FRPaQXBIDWXMExfcoCwUFWHlffybu8N/4dWxPfAL3Naq4m3alVsb
UfNhUJCVLaqkI8PJQ832AwhnL0GQtZCqakaVFQJqp/wigzjuj339PT4MpGAezg3qTw+527QIdAMB
Ci27oT3WRu8BYjykG3qWe2aqbFQ96lqAd7aOqw0PfqRd37KFswG9lnQlpVGt8sU3nkGqkLmDBVa0
C28OITHTEfyBdSaALW/zZ6D3fxzbYbvQbq1ebTZvXTmYbioWQX9uNj764rvIFiM0qCaIBUJsmF1a
oh4ImY6NAP5DofwbFF0HQSg8FERKy9xUqIDhqsFv744tyu4ktrI1IvKuK6vZpOdZQnlMx/XBo3KP
E/MJ3Pw6fNGyhhDad914+sMEOG4OvfseKDY1rOtZF+kStdZL4rZH6Ff9Rsvlvt/+oVXc48TEgntG
bvqunBYiH6LWpNBT7P2xQ2wPFfOK16lTVJfQnetF3qTp+CCTuZPHwnQPGGMZ5N04FMDKJO6aYszS
q2LReuwc2EPGzNAJUWV1V2ZM+qfJaFYktnGv//ub3jPJPy38Lkgzr1bnI5zv7cZGlPzhJKDEHUZ9
f+bo6rpjNdYeQ5auvILOvOjLcKYW8sqxbe6hFWb9sbP47tb4955LB/U0QogNezMm72cbvhMQZf/f
S/Rve3MXslCysGlo8O6YrsWn2mCUv81Rd+jzwmzn1xfvsBkDBVTgOUpM9c6twfC+k/ExNhNUtX59
elt30RySqb3n4PR10DQubR2nhxad7rFk0NHXYaW7FpfhmEr0Y/oaMGjtHVl2SOP++urzart1XusW
CAFIOBUgH0L9vc16d/D5u7MVgjRVNVgD+UKTfMfs6Fkn8vOxV7/vpL+dIMyFuK0GQxCk1b5q8hEa
gX95CgneY4/fxWyN9q2T1X3Zh7TCwHFKb5rH86HtDqeuX1++Jw2UmQ1evhISY6eIDDkkVY6dUHQP
Kcv4BgXbCfO3yNtohUo78AgFlE8bd2j4AtWLX18/db4aUNm2ZST5eoKsdvi2B5/v3aGl36PKVg4r
AmggQsg8Ekv/0EBf9IWQIZ5/8/b/mbT8dz6me2AZzB3JwvmMrcPnWL8ZI4gYXmvlRnNBIzaTC0w6
OMRQ43bpn4IVXcHTANcB/YVElF1mqFPeEhascZ5t1Qx1BQhzqzfQ1F5IocdxrYtNyGr73ldQj750
A87cYo6b5QfVjD26obEPay3dhVYz/BM2aGDIu3Qm2z7ICPyWV3XXqfgAg4xhOqFhYxv+rfGFDIH8
fGkGCSFW/NdT/UxJBeX5Y4u+a9CBaxzJnZB8FlXUvDiooD6RmohjByzdQ+L6AArhmI6qkizhX5yM
r1kk3h57812OQa+56oB7VdINONuWsBuB1Ohv0sA9Ef7TVtllmXkOIJk/LaocB2h13MwESedTtgL1
cPLoEMQNviitPDRdg17fr2EVjVkM2c5YlQG8Oc4MOv2XDUquH4+t0y7nyLWa0SNSaMj3TJ6Cavts
G/K7dbov9j+t0640iEJRz8rMquRQfH4PVDV7k0qxfFuaKPjNZPPf/sQu6YRVBvn9YVTnaaFQJZZ2
NGMNMW8M22+1B6PtN031v3zyPWoO8AQxO94KSFVbpS5zvERAhwXtudZbSgoguo9NleDa8+v3vmtw
68q0WLSOBAC68c9IRAcPsLsx59/PxwCCIxgEdKqE6PdXS/3F0ug3CfpfvsQeRJdQYDk3cHBPSoyJ
vWXtFF/6NMO9PxeuDQ+hC+jd4+jvPyDGs3ldJwFkOiAkCK67+CMbk2PUVnp3uf7706c1G+t6NU2Z
JLG9AHMNvWAZHWtWYN3869NdjVEkhfp3WbOUXQa3aigZ14f6OJrsAjnkQ9S2SVudIlc/hBVMOHp+
cM13YQyTjHbqLR69bexcZeNF1+RQf0j3GLoVqmv1lKnqpGrymMTBI6wnfpOk79/sH5LPHkMHWCHc
snhdnYbGw7NpmmwZxPT9obS5h9BVMIxwKw2w2WHIcR4Gw/IVkvOXY0/fRWmYKQPzi6AuEwjdPwL1
+hly1cfEYekeQyd4IgJH5rpsIXV9mTPbXcOxPQZFpXsYXbAuuE/Rpi7rphlPg0yfgsRM52PrsgvP
pQnHeYJD18lqVi8XQvzHwSh1bKgIU7df41P2mR1b1mWnzo0vqu3LxvTHDvE9lG6VyyK0QCHV2rnO
u7kLi62Nf5N5/22n7+LTAZ2/geGHIJrgHwbUWDFwKAofW/PdAbtBpGdydqjBWtJwFhBDP8LpApYR
x56/x9JlegXnQsUZiFb9RvK0rcxjv6j6GA+S7tF0M++qLhlpdtJ+w53tK1AAv3nz/4xq/yHD7LF0
MBiKIE4lZAmTN+oe4ZwVg2AkIBz6AUpJfVnH2UbzZHQ6PnNM13wxWhU7yHEOfL2McxaO522AQ9I3
ncTEQRee1smhCTzdo/CWYIygu2Hv7ZKx4lbTMJ3hHKam7nRoX+xheF1dW55GMjktRnIkqLWBaZSE
wy79cewP7ILdWDVvrhrm89zL4axT5k9Dxg5NmukehoeSLaYD1fM5uut++XgEU5slh/DVMEr9NY8M
iYMDl8XD3Qzt5nZiY963kOg/ti67aGdyBht+7uYzaaKhoCpq4GnQfj/28F209ypNw5BW9uyI1Hka
BCBwLSw8dq7tQXgCWNOQBdSeeyBr8l4Z8dIm1H469O57DB7zw0AjPtpzkOHWg6lNwGMmPrYwe82v
2viox0WsPUOjkrzt9KK+83BLjpVBewDeFks/2tlN567jbQHlaijCsOqY6gllu5q5zSzdaAr7yzpZ
zCWuLPTFA3Xsjp3uQXjUE3h9KHiXUK8lEFf2A+jVy7HNvhf7mj0sFaFvN53XJNpyFSpTJOpgrcLI
r3Eaq5kHdMSqbxpyLd6uP0MDb8pju3EXpsEGQ9QK9h1nAfbMKfNSFsjHxy7v6R77tYEGUdUOhVUy
kO+Tpu+1JMfo1XQP/ZIaI+V+YPO5Dk2YLwOpzlUFGN3/Xpd/aRP36C9YpYwEhoHphVdt7N7KWdf6
snLSmgszA07B//1n/qUm2iPBKgdHzqjBj4hJGsAKB16t3TIfQ4LRPRJskFViLcfThejqUwoYWJH1
65/HXn0XrqpBOgCe0ZyHBV5OtR6b06SrYwffHgmWDSy0Oo7vNi+zu2gJizMIGG/HTj66q6BXjXZj
M96crdzaSzSpj1vUxAc/6S5cNwmv1R6znvOQyqTQ7dIUgKQeg/3jVv/XZNAla2KTtBrOgYazcLMN
XU5hD/ebXf9v23F3rlaMtSZq+HCGmZQsthgOqSlk8k+HdsweAzZHK0bORqSXpum2D1s4LJ+asPud
bv2/vPseBVZR76MZYOVzbCLwUe4Fx0Ci380I/+3pu14XDjcYV69ZdmEBRucu+NG33Ydjy3Kf5f3t
MkhFBFaLdEwu0Pmq2txtQCdauUx/HHv8Lk6jtqf9FprsEg+6AwC3Wbh84lHbpcdidS/3NcB9D1X8
kF2yKYL3Knlow4OV2B78BSGu0a4Ej9YMx98dD9EdAyTSPfILZhB1JZMxu2x36SPlIzgAy9QfO1bJ
LkwbuJvZbe3ZCSpc184Mb0N+TE0Q1m6/bpcwBqiIas1OHPCHpgueWFe/Htoq/wX5goyQNLSD6TGf
dVTCiQ28a+n1/PHY83cz426IRviz9smF9REMZDc2sYc7Ve93eoL3YPyHTneP56oDNbDUV/yih2C6
2so5/TIloRBn8FST6iY0PIWf7Vb9P5rr/7Sq//RHd+GbrKTqXDO2aFsXDyPuqK3h8HiG3fAWthdZ
LTCJH3sNu5q8oyPO9qVZTZfc+nbgUl/QWDcKtsibcutNVmtQfaPUA3bXhYC0qhwupJuH1VxohvFJ
8Sgdnh18PCN+WwIG89vcbK0I4F9Hs5qK3NgEds1g9ODTwSd57MW3wUg9RzlTSa1vdFOQez6taOgT
cVpH502hVtos7yEh512dxwoWP5D5Xutl6vIomwPO8myFNLy6RoPikL7XmFlaDQ8+0854wSnpu48D
0WhkmqRJf+pB4x+beWTuxAH3pfmMFVKFc57U5bbOC1yXVEin7luPoW0ywyU0CiMP30Eu5JeuZir7
ocUMox8QObcetsRQ+2rWP+4gveuw6RWGiBCNmgrv6ymCdymIk9V5w5UNOQekWqaiSrHTssJxv8b6
RNwWh49R6nh2qeN50+CFjf16hUtAVyR8cPy5Cec6hak49bSQCR9RhaU6PaUaArj5Mgo+dsBvNr0U
8F9Hv58UmJDALhdvNnYmyVPCE/BGXF1WLEHZiFzC9fyAr9XLOjcpKrs8i4JWn2bdka+j1fzk121J
fsz1ttLLYPpYvWyGpPyTHEmSvFBbUfq0VTKF63K7gaPCLpmfIygibDyZ22cwNFJ8r6GuB7ycCLe7
OXkIVWNUYzrsN3VdOV389zGFs6Eoeodh8C0BAyn7EC3JMq1F2zE4iYkUTtBT3s5t5wOwWDaAtqCg
k8xuPq/4ln1/IzEGaXA6VF0qc8VVduFKdkXPF68NpilrMLl7Zemmx3Ce1Nkb5KgX3ou5geMjER08
1+eezJeGxtNSwGWRwXrUy7U9oa+R6ZfU0q5/zJYNjZ+Mw3kxd09dDPPzLI0TggrKWkppkcUwi36N
YM/KLxBYUctjR3yEqXZooa224ZrZOgHuFhywYSiuJYfIWtjO30kbgDNjXMKG90mso/QkqyluvqP3
SVsEjWa9O01N3E8vag4F/wB41qgvzZqAJpT1MIl/2OKAqKdIetid113bz2DMmKBnLyOCVp67Qa7k
NsC9cPwsA9iHwxmVKcHjPNEsG15Ca1X0nTVVla4wUs20KL13Ln4ITc36PxrP17iA5n0INrrwNMog
7Rzz9kdlvVAiV6NKv8NWfBw+g10Og0ncLuHsAs+jX5+B6ptS/M99wH70jXHbTZNhXT+oLYS54iAR
ST8ahm1+FYpsLzYLxSUkY9q8Sc0MD/gwrQf5blRy2d56EDxIgJto6Aakp7sSMb9N3nbdT4WbG/nY
8JGuZd83bVWOJIvM4zxmCSkaRhn5knLCsj8jr6oXUMiDB1wjbT9AbdF542NxEhAICk5LvcGTGx4S
brtCPIj+0cJBOjsNLZiOr8kq2+4lElUd3Xxfz+s5GGWzXLPVhLxMYEMbfg55pap3cszEUAyrDaCJ
2IQZzH4zzWHk57YpNs9TuNnwRuFc2X6EcUfVv5njLJGXUKo+Odmlccid8BA28gL8dGSex8zxHy00
AbqiwsjQv5FLaJBKZL/4M497a8QpxG2Ve1QNBI4vlZgH0GuCxIkPMp0ydtPDMPDcVoHh36XM4HEp
uknZJk+7qAphdMTocpvglG5P1pMwOFn4Dkd5125++EJthjc4wXU2gpzhgreoAzGZvFmCqTt3d0me
HIJ2m3oZPYhp53gw/isJV89hrwYb2LqAFQR/RrkEl2qEcFI0rSS64NrD33wd4c8IgSOtIXmWU7Vt
9c1bsGQ/rPCnM1UuR5ssyPfb4Pse1tQ4pn2OibebfsB9m8afYMFhcCAoqNVk8DCup/uHHOxszjBx
xE3nufNExzm4n11ctlmUqbNzAka8uYDr8fbol0lgagEfZJVdwwq+sRcw2SSMneGyFuSbqevgPY+V
ISfJ+BycptBF2SlZt635ZGAU3Vyd3XxWzroPqtPoSbU+UZjlvA2jqanfY3JEVpXXbWuzC1TjhX3I
FDqYlxUjsfTCVI3zzlZVPALnzeTypEXYqKLfTGRhR26SALwFM1W1B3sO1qDv4MurQcbomLVv6yVM
yLXHlXHz0kPprh5ztzIY6EBXPB+9yaJbRLPJvomnMei+kXpJ2yfe0gl7rJO6lX/Ch37DTtCQbJvO
vUhrd8EvW5pzrBWbPnLlZPUwibqhN5Boefs8GwKDrzPSUctP8GWi1V8bpJKhaT7JJr5OfS0EsM1g
YGGPwA6+eZCNXYfr0GgKzDABhjg8TwNcD3Nn1468x99MP7lI2uVrC9F4cNIzIntWjJBfhDE28lNV
LNWwvG8It3CbzwZwXeKuA1hVO5MGxTrMFpZypvcLCCQOpsy4UEjlW7xuHL9Z/Crqa9ARhpujulLB
/EHrre8eAN2VG6qiblt+4NSYOgWNVDjEvt5vamhYUDkm2zN8l5mekIm3tbqlDT49hGY53M2ePBLy
+AbuF5O5hVZm9rpYnsX3k3uR0AQQWMZpym2GKA+hVye2WRRj7WGITrOlzXK4psH0OmEa+S1X1Dfm
TWijdPy2mWlgTQ6r7iW+rYyGywvD7pd/NNMCCxr8SNpXbxTGYf5dqrCIDxtpzHLq6BzbK85/mABj
cYl2Z78lCRzWY2X7DR/TCHdxXgX6YxKtVr91WDP3MDaAhb5pXC3rAmbO/fTHMiQk/qJJsqY6h0JY
2A1YKdqKPztopoZvoVrPsm89lFfUVzg1K4L+CoKItNANaZKrTuy0on6TYcr7fAzmFUdhu+D4QLUH
yVgexC45TRBp6Fdg9JLgO1TlV1aEONSb2zaP6kMyY3+fVehbXtTLhpmrTjr2OSbARRR0TaumQC/K
Ejgi9slckjaJucvpEurxZYDvLijHEeQ7L/Cxb/tnqgcftDkHA+tb0492ucRRzdybqAsN9Hdxz5p9
YGnn5cW1cMp5OxJJ/0gnuLycJlZhFJDWgeUvazdUySU0jSdvcP9E4fOrkml7jJpu7JEwGWIDsHgA
1dJSQUTVPFe6zYalSBkTb1cgX4IC3tHavZs2P4IQDd4r8QVkDCsF9/CoHt6oCTOmXGrRjme6glfb
XkBRi85pRbvuZMKK4EvUso2e2TzcnVz5dC9+UkArpSiy1MXkpOcxjOZcbcv6uUlbqCblmwZr8cMA
chv9JCbeP5luRsVVSNEERdRAFW4tkN0dnLk5tZ/JDNmDq+B+wHmfLCHKdAoC72DzlcJI/VbjFcLX
ue9sUpCYjye1yrkr1YJQ/xKHxrsLSVQbwZnEQPIsYjVNT7QFPDifaLRdMhxG3uYmrprpZQZ0KusK
zXXSPqmpWt+k690AdTMbfZzSVIXnFA42C45RlBwnszGkfd+6QNwU72L7YW6ryL3rzBwVuCMZyde1
rbwrKi/ZFeUaXDMVWDTwdKe5WRp5lXaAsAYDrxqHLS22zWZD3sMMiZ+sCclVoB747HVCHwWklOBX
nTXjVMiIcAHN1oHkfc8a/pB6sf7JwP5pnglCR5dbM23Z8xgQ8zb0kHhFC0Ttk+Ap2VA7Rcy8dcEA
2K5dkoKDRv6M+xyQtWFeSqFGDhry82pS8rH3AdzBScNVrvViH51qszfCQ0H/pLCNi3iZfUFkVV8Z
Y9nTzMX6IKKl/boK17zPaGuKOuSvbWz0x7jJuiwX4TABdjK3So35EtaZn3KBane9rLCqW6/cEfGJ
R8vwYJs1zU7YzrzQ27wtl8408cMK+CL76IM0eS9aD9TCidguCa6VTpxv8wo7NwVNfpXhn7WtVvsx
jjlfc1frJQWUM3J+he029ABu7bpskE1JTbQOcNYdx4mgj6lp35wEd1Hw4CIGNjZopT58MDKqspcp
WCZ7ceD5h5823hJeZCtz9nFmQyy+onLV4zm2JCDXoR5q9tQsroXZq+hcm/toMOknOrdD+GakMx3O
kGlYO0gSTFze4FaftV8CCS/hpojXOq5P4dRIGI7HNUrRzM5JXZgWNYrPKxpQ2uZrvM71jyWN6fjk
lt5t32FK5VEOSZvG2N0tYise8gaEoeYMFZ2KlCZt6+Z1idD7n/uOUX2xCfLOCR2NSG7jHX53HhNN
6BuQapr4EfhZGp2ibImzWwTa1PKzBhhbv5knmw5hsWbCyYdpnGjIcwiKpLge3RrSrq9ojROCLhiQ
ze1xmtoJeUF2iY+eB42QfK/QrPovKlbZjcFvGw2y9smXaKIq+KpxwYo2eeljOC5iCC0L7A4US3k1
O2T3yczLyWlh0s8cnH77KfXI7X9M05iR5hQnY4DzquriwL3nfmsWkQeEJDS3tjK6yCrakpdpS5f1
JwPdv/3T1GCzndMGtoXv1lYuGQQH4t68hcdzrJZz56DuWmZ1QPq3HFGGjBhSM6ZIT3JJMCyUsHiv
rw0Npb9SJVWoT2wzKAHylnMuIAPfo/9AxdeMxeqGey0CGxfrXxtrjPBlpoQyn9op6N2lbwKb3aYp
m2N8sS3z5jSSdnFfVRaDi8Slyqav1qvRXQYBy/siU3P0WI+i4sWIi3CYvzcNE/gkSQ0y4IQpe2EG
N6IoHTnkZD7NG1RyQZAeq6dekLH01ZK+GylZLaqDeNuGN2vbtrmBN2gOUpiYKfzF0qa/rD6N10LA
TnW+bXRCgyazOckn6/tgyO1s/fSaRD6RPx2sTdLzpsJQnri/n6u5mOAxca1QZj/VkObCrqORpg9V
A3/Wx0Gs/ecsxSKcqLUsavOwBuTh09RuTYAqdQ2Dctmwr0vUAVHyYHEENN+8p3WJFiDKvvSQOE9k
EWcirN8NLpYSktCR5vWcY5PFtEiRVVd0cwGIc1sio/olbXy4FQYB/1FFsT63Vc07hFo1P/QhJhjP
mFfQ+G3aLVw9eGey75jE/IHSwxIOSxUOCHgPjxjyriOi+go9i6Y+CY2kWDdGPVsbojLbIDDib22S
ymLYVhiOgNYRXuvE0PZ5tHRqn001T4/zMPTNNxhE27+CUU3TaZkDfEa2JJ/UzO6XOyrF2b4w/4mj
lrAnsY2o1YFrskve+kRfQFbOeN4MXqA2wFWlg9ldumBei0w4Yb5jmxcPlgkcGNP7pAfEb/NJoRjL
SQwE+g2j9Gx6omM6Bm9pAhAfQEFJJ9zNcSFsi48yr+EERnfV1OclpGmTnJuU169ihDf8OQJ7Zfy5
OKJcEUhMrr5CqwFuuCZOJ3buJFkJtmZN3psa/Ui5ds2UkwYJdMjdbOBiJ8gsf6Sxnsgn6mfpilVP
EbqdhLVuyRuXtsGXuo6q7+m9NLmmC1jmH1c+/GVVaxnK3WyMUMxqpuZrBk+QtMi40X/1MUI2T2HZ
UcAWJGTnNvs/7r5sOXIcy/JXyvK5GQ0CBAGYddYDSXeXr9qlULzQFBEKElxBgvvXz2FkdnWGJpep
NJuHGat6iZTkC0kA9557Fk9+B/9ytuAizHIDf8vYQyuDUPXtRMUoPprEUdAfaxUDGXRUCWcka2BR
EKEoKccD9+v6S1FMzMU+56VZ9QSnNpWFtE1HdpV13vwVrXOyHNuCxm9lWiyKI/97HuipTEeveXRi
4vM3F5EZ/CtayxTISJbwk6rbHHsHSeeQJm4z3rQqFga6DsyWvMRPyI12fB9oNkoPcuQjDEW3amh9
Gk3dQthm8Ac7BEXZT/fwRHa9Z9Oq4dZxPPssY+E+gvvRLbs6hgjoyqnRGE9FOQ0b35Mw9F2ywTzj
mufHys1Ba/MzBHDD48Sr93WqVBNyU5VjYJw4/wil7hQ0HOItY7zRP7aTcW6EP05nXy2p3NYxrBc2
BZ+nXYNYiZ1rCrL3kMmMPa9i9ilVCZ+vTVJDPTwM8PsJeNPH3f3Yw+L1EwxE0JzZefTSj4CGmQj8
YcZ1oGOWYVtQzGU1Kg4B/bEk3WM6+SgSGaCEJEGVkXEH9rBicaIWNHi+4TIBbjIiXh05JaJd9I4a
Yp5gv57ld1TWEIFPSGC40/ggAdODa/oQ2/bcjUELbIxdmzwVXsgMPs5jXcdjvc2aOEtD6gkzfl65
rvu6KsryOAmxFHiP3LF3ueuNxTVLxIiCbdZsK6Vx6itQKMV4Cyi62mCbqKpty3lmI5oOhQu6HIJh
N/VIsInAH+OAewE4Ija8Nmi3R5CWh3nu7qyTZkNY8d4tDo4zlMsO9mPLV4cjNikoEA15TJZ6wvKJ
JS5HPpJNrrw+bJpuPLDaRcGZ6uo4m5Tfgb3cQCEAf0fgHDBqYJ6IPzoL6ORbCYXM/AicaRpwEFni
fu1km1CBDJx8ATxgi95U+woTCv0pXRpbhrhTELzLPEVljh2zGMowbWID/3KYF6kzLNKkCNXom34/
1V4jdwIZ4IhGjQdf6sDhsD3cjoqti9DJhiRBumKDjgmbTx5li1XjvoMoQwW0nroCyxjzrrceZ2e8
N21HkmiAozYBE7OknvtUe6jQomFUbRoKb/Ch9en8OX/SPmxqIgK/ef2xAKDhBWXVp+kjmRbsHonj
+O7BF27Jw1LRgkY10LAhrKsB0FYAEdSURBnEheTaM00rbxEIoodghgu02fRzzOtgpouHCkYZt/vi
tEhVCDikHuoWWTaD2KWzGcUXH19qfLYoUP0Tt24hQq8QOb0pkpHANNmgKUi1Lcu7GQL+fEszS8o5
4BDbDwAw02pJ0Kh3gBzwUE8oCpHRHjcI1lY2Pqc10cve9chUnZUBThv4ho3wSzdp+0Y40+mFLnEF
XlJM8uqql4NDb6CbFD7WVMuWEfOfajZb5DeO7RZMN1OGmKrw/nM1ltZBQOLSyb1TAE75SIpyvUM+
Gp/IbZXJIEZFA1ZeeuCHeQh9RWf7AF4sLj0Sn3I0l7xzqisNnsXweaSzslHs+3G3G7Ffj1HLjck3
BWOyiSgSabo8aNpyTrfoBgt1jD3Yr4F8WazxYEhLq6Ms1Wo6xB0RMoROJFE8ghMDwYLScYl5Nkah
dXLwh4ktqFk6410BJKgxrW9Q2wXAYd08gGB0yaIGj0Gx9abebd6E5nnhoHdwvY4h7xYmJt9MXhbQ
c+WYkHU4TEvUiV7oFK3a+dTQedrnrmTyCZ7RZXca0dpPBl9ce5mHGmRi9TUXupieHXwb5QSp27G6
365u1mhIB7kM3qVfO+hj7NT5hOILfFkYTM1xklzPpWvRrLQ987HAvRyYlQgxa+HoVoktVfVFz+iu
we2bRUne2m5wGhQDgqNhqjtoGwek1dTtwaq6l9ccm0eCUlFmy9c8xTTiU5aNdb71Eq9yRlxdwypk
MfutvvVQ7mMtUyU8vjUojZq31Hh8lEHnKrg1j8Lr5YMLfE4j/gX4f/dZtV6fPxmnr52bOsHA53ZY
G1U4FsyyoKEYGvgaQzZn2mKflph74SHxDNu2Ao2Pv0GOYt8coQBM+BgumCHV6HR1K7SICPc7eRwN
JkknVNfSP6Es8ux9VWR5exAJG+u90yOY/RMjJCahv9Zs274unT4oBB2dU03gTnXr9LbX2ONgQx8q
VMbVZu5L2V607SB0KTkRw8NSgNIYSmIx5NGsqGAx0yZO90X61sQPbLTY/CvkG2TDcnAWxHejZIWv
YbEfTcJm1FOIuA5dMXX91VxXil21QNnHXZH7C3kCqsj5QeeYBIaGlCAAbKAnJq2M8GwuwLZWRM3Z
Ni2lfcj8MnMCrLmzb+zsYdbIYY+xJS6o1c1WOy7mPX6FEc8cFIhYk8HcTIZHbSq4d9VNvVqujDc5
pIKlGx17BUwvQVZa3Ss3O3G3tfaJW7iqv4nE68sTClsttgVPe3U/jhjNREUiswTqRBDSbnRVFf4x
Tooqvx8lLsxxpjK3B9IjUuc84LNSJJrPC7/JelEmhylrVf6IRk/HQ0h6VMtNlNWyBGztwaNNk7DH
YjZOCO8PfzYR5oBCqm0OOuBqYSxe4GBIrBsqBQPMclNiFGT7PQqwFhe2E5lpb3BOVwCeQcbBKA21
m5rvGS47xFWKp/nyiOlJPG0HrOStWhZxQhPtO0fqxAqFnU/gXkfXMZ6kO5L5vtnlmWj4aSlqKK9d
Otfdy6h7BdOKvId1yLZLzDSngTv6XGDGSUG6Io2VQ+gD2LCfysGT9KaG7YKl29Xq1QWmMXGEu8t2
UUMWqnIc82gu2zVRrrP+hbexV+09KHnHq6YyPYuSYTbViVr41AAiJZi31nMr+q0GiO8GjnVdZ4sZ
ZaejQiYKbadprEGFxErNXieBFPljvCTZdAdLBq8D9p7G7fKVVZwln01ek2JPGKSOewLUtznDNaDt
HgpYUqO2qbg3nVzPsfO3ueGZOc1z4lgAfBOV4aJQjgTAl3vMVrS1IPs1nXfuSWnHsJsRHLpv8RGy
qF8ozUNw433MzD1vpdcOcqvAbL4UA5KBH8mYJ/bcdotbHQRi75b1bosYWgfVzUiGt8LLPgPmc1iU
cekYC7NW9DOhrfC0lxtU1jkOSGyka5s/tma8Vk47sHB2HLfFYpFNC7mE4esVVAZwFSqJlqtrK4bC
gd2AFvprv56PX0UP+wRoyXmyb2o1uwHBflfcs7alHdZewsumC4y0UFUDYkJQlEiJJhGj3AG9hiVN
fKGp6MYttlF4IQ5FpYe3LpvMdKoXUfLndup9D81Lk/WHeRbL9CxFaYbr1cORXdmyj4MSZjdNgGo0
WcFyMw04czHAvJHzrMTBplAaXDAoKSF4R228ANpqcqBWHMGVHu9eIVxtZABhER03k29yoHZtk96B
JuGiIhoQynyXgdmIcxEZG/BuVIOM1ZMwRIFpXhHMs4ZdFbdN3QUaej8vqCV4BCzE7Lvt3wAkJQBv
AdiQ7hVoxaKdwO9QvmYBxy7bAUMsaqg9ApjUo+/cTpCHIhyomjw/fYHCeu7boB8RYtPsyqHjOgvH
Bv7hqEOJP3E3alkKKkf0H7btYM/rcLnDpIp1IQEjyAaO7Jo4hFEye2T4a+c4jGli9ipdsd8E7fdk
1j3Ti69ratsN0IKlB8naiZ39f8T9RKbZesUVjLqnKSJ+VvfBMqf8GgOrqo/8GOLvv8dgeh8+589e
VdaVLTZEfcy8B3/4e+T694ZCvGADxjV4XabvJEALzf+mhOZ96FwNt0YVayG2OCYJQCQ1kLPFbm3/
QsP7B4ZVGBn8yLwCFEY7MNIwmXCw/pq01t2xHJ0aHoi2NQCc6JAhFkCoht5MFtAtGqzMIWHtTLhP
f06hWllFv8c2ekcsSzCimbTTim2NNNMi0hC1nEEebELUaxg/YhYn/8Jp4I/IVO94Zm1j8aiBU7yF
IUAj7ru5jvvIJKhzoxEnE9xJYf9QoCqd5uovrvAfkCzfuxNl4IfhNKF860tkcnSwndk0wJr/4gv9
0au/Y58ZJPpZkSoO5kj5OW/dp1Ga+O8RZ8k7eijK9KY0Scy3M2I/grSd97ov2N988XcMs851u6ru
fb4FBr3BIFUHsQvk8c8fqD+6Ku/oofE06I4r7W8T4lic6UMcuClO/7/36uu7/obbSnPDwA7CdaFL
CW/eTiFlcqnv//zF/+AJJezHF/dbtxzNlOFxSYWiXy0wpTEk/kyRKyRpaQLTg419BZETN38rno+9
tylKZTIKeLbwLeJQ+bPXtPaSuYBX//wLfd9cf2d1vzcpEtnMAAsl3raUKgUCrap5xHAF/3ub3c5/
8lB5479Unlv5O22yh2zRDy6eNH4VW92n6FWSdIN0xq/TwBDdHHQCJdkvn+4/f8j1tf/8L/z7S23Q
7Cdp9+6f/3yoS/z/v9a/+dfv/PgX/9y91ZfX8s2+/6Uf/gav++v7Rq/d6w//2KAu7+bb/q2d795s
X3TfXz95q9ff/D/94T/evr/Kw2zefv7p9WupqwhNT6u/dD/9+qP9159/ArtwHZNgXf3nb9/k199Y
v8XPP11ek9fitfr6+3/39mq7n39S/AOloLsID3QQ6nOf/vSP8e37T9gHxqjvKSS4KS7IytuvEH6a
/vwT9T8oyjGaUCBHEfpdmWTr/vuP+AdIM30F2hSGfXhJ8dN/f76bXx6XX+4LLsqv//5H1Zc3ta46
ixdWP65xIQmXwBkA21IlpQ9T6R8XzCItJQNCiPcA7+ZNJV4TjFICDceqS+rNyAwteh5VYC3UIHpG
EB4BGiFT8TohoOGcSdC7ke+0Q/BDFaRmvKlYlwZeJR8Tr1QRcAMxAV/GLA9z4HCECeHt0HJECFIG
wxHTF/c2xWA+U217JVPvJYN5HrX+ebZLF0iuN6lAfm43xEjYmAK/KtmG5HELBmz8OGHUD/6eXwQo
QU8lm/1Xod1iN+RqY2sMLnKplnNRLmXYjeCmFsWcBUNmr3pHjtsRDp8A5uUWHbKbgOpYMoAjK3vL
FRESz5yoVuNtgzE27uDXEYAg0hpOIM1uZkvvoJc91q1JQqjRQ9AYv4HTMB0wmMkWDJPksqNpe49x
BL2udVlvhwXBA5PQj+C9BL4znnqOi6k6w04ZGJIhEmAvXtXtGge9T2WaM+O9RWNelzs9dV8AvCyX
+Mkqhq2yKdQ2bfqD56bFBWjbk8/nqGj6TeGBu1t6DTa66htsCJdI+Rmsyd1okj7Iu9kD2HH71JQ0
akFMiQa0hsRD+ews2ZUz97cO5cMmsXZ6BAGV75koN6anU6TzegOiDy6NaJKrEsPre/gF3qVs+Bzz
WWDc5RXbCchHmNWld81haQ8AbMHEFmOFEL1VtpOdF4cFl3xP1TI/sLK+Y3njocVkXh9lZTrfI9Z4
SQN4HZhd52TJ9eSfVckfGckA6mV+dTO2iLHthuEMisA1+H9RnvvPSTFfigz01q6fPARdt6ektXsH
yCFZkucxGdvjpDcYHWvcKntp2+5bXt3DNcBE8K1mV1yYAhDynG06d+NN6N/XTL5GASSOMXyAXKS5
zAM55XwE/imqQErA/s28nyx5jMsnWiBry6QlmG/++t7ZviFO0GLo/Uh1CwLePPAAvHZqtxWITmEp
R3fXxAQAh/sK5qM+Lq76VmTqDAJe4JHyAIjzhnUyHKoMSgF61y6p+zKAfUICXeuN1yt5r/xqW8Vx
g9edBTg5ZetcLynjN+64dFutYNRRgfz2xXhNf+zaXHehnbl/UzTMHFhs52PmtfKVo4WC+W+VHB1X
yT0Yj/0ePLDiOQN6MiAdxupTSlOyT2GCejWLNnkAiwcABvaaPavJ/DLntg7nZqxvUtj87oWoik+w
exL3i6eXsCA5LOxN5R9Tv1ZHs5YUQFFh3eK6yb53lukMKKF8WDo9PaD17eGNhSzHsp3tthlWPk9r
VPsK0r6IGjcdQMVS/Ky4Z075IMdbt6/YhbtLf+hI6764EBJsRFJP26lW/rEp/Hzfori7Xto6fWMA
Pb3AlnP71ZQ5Jjz1gKu+9KM+Z0aNJx4X3bEAS9wFL3ogN1JO5G5k8FNwY+qeyrxOH2fcLJBCeXvC
oyJODJbJJ/CEcZyaVrsh8hzEzgVP9qLwBeHog7MMjEvyV7UwLJ5/KPWlJ5UCM1TgFJA+KKrv+5o8
x9yE2SXZyyQpLsZr62Gf2cFempWq1MdkiowLicBM3T4C93aJRngtbDBUTzZe1z9igOZsCzY3WAWZ
xQ6LEWTEE01QNynwbTydvHRxH0945hJ+A5/K7NiR8iJiMP/BMl5ujA83Qw9U6fOcrHTpJn3k8VQH
LTIYruyEocjgwrUqnflD26Zp0Pdjee33gNmice7jBzOO1NkpPjdLaMXSVFFa4YUDOqbKhL4w865a
0rgPLVC1aUfA7Mo2A6Z0L46bNhok8aTecGArj0yALW4pWACYFWwdKu964exgvV6FKJ0iU60s6k6g
CgBtcqfL6uSwBAh56YJt0rM7M3Wn1LT3cQt03dSkC8D9OziFnsKlivUGc2UoGpx+CWHCjdyHtDza
xRuOcVufhMbyh+8OGgibAOfWYD337bwpObwNm9FPvqQDHw/VMHpbB3wvdII+v9RzBsRfucVWpHl2
ZxZASKZPME9YRrFTgPTDfgGPD8msPjmNhovT3Gf2pLmjzj0n6WNKEnpC3wWzD67IXe365CbNGQWI
qMHPwb2eTjBq02cAGursAjUbA/BG7FcBbo4XwOAnfSsLILNTC9ywXVfKvK4Zua4euq6jfl1R4LH0
B8hV2CV3qunWNLo5eaTC+Zza4WJGHJUVCLKvEOxYzJGVZ7f5uoIBR/UHsq7qWOTVw7CudO7i9DED
jJuadR/Q646AgYt/NF4NIUhTrc9BI+/luofodTdZ1n1lWXcYb91r+LrrdOv+s6w7kV73JKApZJ9L
V5+qxMeWNXVt+dzKpd8DGVJ7A6b8Eb4lmCjC8uE1K+h8NLFjDsTPxQ3IR9gYFX77iALE/wJUNt1N
mQ/Gk9H+DX7bue6h8whBqPfgvu4LUICA9QBkjls5oWtRqFBy5eJrSwXKHRBxkY1boZFPG8FgzS9D
N2HtfAVycTlcKihhQsJhwwdahrJLRFei0ZU7qjg7VItNzDNmEJC2UJ6bDgaHLO+u6qQdkhMtSDIF
tdUegKZOQoYBuB5VPxzDVBWQxIFHvEzTOYGXG6Qpm3LhC85rzhcStp5fIlqkymC0DyLGNYOHzlkC
r70FUd3dForZTZt5LoiRLc9DtsQl2TV+WhQbp3XlGMbIOoPlgYk/s8FvRjg/FQgHasUCq8e+hD9a
OIDFWmDqMZCPC3jg4PWllYu9BewchUfMbdxTyzp6l3cNrkvV3Ip4XsIFE5kNsTN8Oml1ZbkkW8T6
PnbDyV9YA+M+cgZObs4eCI8BDEHiEDUqxCatjpEIg2G6i/jCwCCyKyprMwaY6oLdMGSfTK6AVWbj
FxfqKkSeYMahZnoTk2a81B3WKLKrPmvxuWgcdYBWS2O/mWk0dDgGWN3ALVuQnUjrW6Qb30FTo6Kp
kDduPMZXaSl8BNG0ZAMtkzh2/uRfFaCIhVqD4COdOxBfceZpl50cnP8bspgvsKCCiCZxYCK8Mu9A
nrjBcQ59sdHfuDeC7g67kACJUcsxyzGOn8a6e3IlmTGCbeZvqnbxDPYgEbAQACL4chBHiF+tYH7t
pH5oDf7Vnf2NDu6sv7S1rb9171u4H7q+/5f6PAYJ2Z81eVev7fxavf7Q4/3yN780eEJ8wAm8OnJx
1wOFZHWR+KXBE94Hz8ewkrh4C+wCq4X0rw0eIx/QcfkgKgkhGE5yQCz/3eCJDz4cSJWCxpeo9Sf/
Rn/Hv7v7/Q9sICBCpiCKoL+E04JUgqH9/C3akrs0pTk49rtscOS1IKD9bMulKrcVlt/HxO/6F9Ci
ij3cO+D4opqYBnzy1jarGa7agao95k/dvfLwGmuxoJ4wXWUf6ViJy7IQ71Hz2J4hXWF7aOizz7V2
2AWK7gmciTa58kt0vuhklJ7Dxu28r/m00B5dTN9d/ILQBw8NXhNop6y+zbOhZ6DvxQMt3HWbIfRQ
pcy9sQ3Lo34eqqiDhG6fGJlg2h9nT8jRtYfWkfETMWl2zkC10zDSh/sLzoIKQ/sNZrYyyLKORFAp
rmR8OB6yjLmQWso45AnHvKGCKu2iNIMDutV15EGdGUGVmW+YnMp73bUCFUHWXXoX/FwVQwKYgmc6
a5zNYAGbM0N+1GEC52rLy7VIpYMHPDHP74eOdOe6SxaIIP3q0lDP7pPCuhsB3+m7okq7PfYcApID
AWW85xdI4YsLWE/DrsFM8wUqNmylTjUcEkE96Bib/LooWHvFIeMKVzot+tZueVWlV4DSk5ltDREa
WDbtHHSLKDZx2/FDC4ThMc7Nt6rqMDOtMK3W4VTm4wvppuQJ6rjx4wzt24NCwffmLh6ocp5czIBC
zy1RRBEq9B5DxNJusf+SlxIVuA68MtNw+V3E9Al5kqhv8tjTN5UcgBmg/DgqJ502mFrJGfzQReoI
w1gVzeD0epAxMfDUHK8AZAlArjrhRCu/ufMEzGpwKcJXa5djmlxXJ1YixyqeeHNfzLgvXlMSlITi
2zxl1e2C9JiDM/nsnBdJEpVO1T3jAE82Vqr+WQyZfgK3HCSexrmjfmaOGfSm35xJgzJBMnC7sn5V
32bJPN2C1Pg1TeUnzkV8Nu3S4qaL+EgBpEX9WPEk6LIazUHcMUhZhTD8PAx9dpfW0o30YufD1Czi
ugRtH+6wQCcqNw1GkQynAU60ry02+auZeuMVKCDpqZ1NvudZsaHJFF/VjgUPDxpu/xZk0vp67Ebw
wzH4gSdXyl9SBq7xJl8G5yM4G/opMUW+r/Jx/FQqn7yOKJCDNAWAUYOyf8Sgz0bgmUe5z2/15DZ3
GK+ACdwXw2uGscATn1i6a+uevZjBJNB8DBjmzwzMOeh3NTt7JdgzEX7VXBILaCuAji85shQEIVRe
5ppP2t7Azdc8xzB4tVBMkP6KIlAtg4rE5Ft0kEGMQPEsjEuUFYmDGR0ExSW7poxPGNd/5xhhoEqD
gbrgeZZaHHqwhiOw2eozxngNpm8ZvYYo0IJJDMylSzsQOwbRgnIlMo4DG7K6c54metigb3PfYoD3
b9KfQZXyeXOmYCUAYEKSixvCn6zYgINmmqiycCQMR5+Mj7oFkXnn+pIUK8csF6icoC0DEoDaJmYg
g8N5rUmjvhr4mVai39QFI9seTXcV1aIjPDLAuRDUlsHjq2Ni0NtFOPLSSbcBCISt+EV4dAEwP/lz
FeWYnC/BvCQQqg3FyKHA0L7E6oT8/IRKuf7IkPgMDlKW9CjMhuqrhXZvCuMqoZ+8lk8cwJBNX6Z6
zWfEhujMgagyMcCmi/biBQNClA6pw+SjSyi/5I07gsFLl+oA7hDzAwyl5j0aVo6MCmS0osUAyfsz
6n0KxTI3cCRNeSk3qpCQUJhenlk9r5v2GIO0r6eq0BCEVdO2p0j920lKJoAYVDkvfoopW5DXExC6
2bUTyJE+CDpXWlODiFDiNJexyJCqPk0dmzYJhedHaJEw0YIdK8GBwHSnvtf+UGHiLhfUSnPc2s8E
VIIMDZrvp0cNaU13b1LiHMFsBAUYcph2I/oUfs7wsQZ4lOQmCz2a9y+gsPhgtemxQnpuP3qo0O2c
hgAuIf8llsd5ECPLDnwnxoeAFrl7mLPC32OighG8ZXr61jp+9dyjDtrV0s4FGJAcQi74mRd34LPE
z/2o7Bn82m8NohBfuVZ33oQk82DhiSeCqaj9LfgC6tDzfvo0ywGaZRDB/E9eTyDKTcp83hM/ETFG
0ehIE3cQd6sDrbxBrBEyysEVAOE2F+0IOoHCF2hF2u2gRIHUDoWqP4YFNt9HJ2PTEZKd5Il4umqC
vvAsun4Cat0IGuUbKsg+YGqcOtSjKdmk6cjPDtSbIgDtHLoJ+LzxveMUWPctFsJHwwv/Ye78/AgB
DgS/JSYKUGanXj3vljiGy5+buI/gFaXnvOQAOMCqAEe68qvsIxcDPrMoZHnwYeFQwXBVx0ArgSYc
EALVPMNpqPT2GuMMg0AfCFBDBrmMDVti2SlHsuGLwwpACg6x+IB8SIqvjTNAZDVBInepnAErpotd
YFNV0R+xh7qvxO3m55FIuYdqfYaEWiwZ9t6KedA+FWhI8XD3Lwp/f2thqgRpJvqCneDceWlACD7S
WZLHsupw6KHj38W6Uk8JwtYfiVHFLYS5iY1G0FoA5LDyjIYLwHMd48pi0+2uwRh2h0BBs/I0DN7c
RQukNJ+cvMbknkJ7iTVq2D3XGJwF2BWdzxV8S5ZA+t+tqVTleCGNJUoF1XfFq07NYnbOMGTtJutm
pP9luka8eUZL8rEDg+y+rgjoS6kny2d3jMFFaOdR3GUsS5OtGGH3065dWNDldX6jUhdYKtK1Kdzk
wDE7wtMPkp8sS2/HLoWc1YIvFLWjjtxsKT7jXsGRaJmkeRpth1Ng6HC+e+5yl7cp5A45q8s2SBp3
5aiYqr51wOKEnrRxyJPJctaHSw8LwiFdYIE7xUIkV50G9+cEg2uAITArS7ooRrrBNWlyvPsoqAUe
m6fxx9ifin2ppiGFTBdXFV2Seert5N92o8YAwYAtG2TIArpxgeSfl4lgRyXSs3dgsJi7ESwPfGdC
6BajP4kVn8DQQqezf8oUQfPn4YTDkwGY+srJenfr1m4P68Eh15tsIWDOChfglM3a7Np3OdD3RFb0
dXFF/eQ0CrQ817fk4rcTrohCrOSJkAlXyHhGX7lTIl9h98m+YEqDj5WorHtS7gTczaZzGgkkGX/B
0KW4gom4etJEI/RpaRxsfh295JAvn4sZoFnk8GIBdg0JL05ak+9K3y11UGZkFrs6s+oUq0keJ7A0
VbhQBLlEWqf201jkKVQ3lWXfCqOQddln7MBjJ/m8dHSGegUAxYkCvEklI/t5Ad73f2fs9/9d08h8
d53P/vFk8BkTvn8EbxXmg79tHH/9u18ng+QDQb9IMBgULvrG1U/ul8ZR8g8SXRuOf+XC3RQEnX81
jlR8wLhQEEUEV3TtHf+ncXQ/cA9TS4kmTsICw6P/Tue4Egh+2zdiwogYD18xjlpJ+O9topEHkTQF
4Gdkiff5tiGZCobE1xHXOXix1fwXBIzviPW791t7VU9gJAmI+L0tIIrxeO2KgZ/nNkFMaZ69YTGA
V+tWZjMhbygq48XilMNvARidB6mCLOX909LGRTgOlD3mA/bT6De37XcGpO6PSLuAjFp6VGJHIZxS
tNHv+mdlgbll8CPajbT41AHIjVyIMQOx8CvaeQellnqHyrDdxuA9R+l85m3/7znG//IZmMsptjGY
0FL+7jPkqxJoynq5M3pqdjF0ugdAnvXDn3/V37njHr4qlwKhPOp/y86BRGjI0iWTO1ZzdJjjs/SE
vhp1YYBk2/EvLiye0/fPF8dcg+GOc+rhQfoRl1idDMgEGTRix4W/neRUoBkz9C/eZWWqvHuqgKNg
WoIjGc8wfUdYonEOeRGPxY6n4H40+UqUKPq7odRf/u2LB4THd4XC95G+/+6NuLPgiq6Pbwwfg6B0
sm+jXsD6ZtUNy/K/YJr8zp1SwOwZV3BEJWAg/njtMMeqa2E9HA4AfcICTg9BCkFahIahCNH//gX1
6rtN3vurSMHrZ+AqIEzmfb6MBgt7aUUiMJ/24OI01Oo0ipjcFYjL2f8v9s5jx3ojbdK3MjfABpn0
W/L48t5siLK0mSSTnlc/z1EPMGrpRwuzn4UaEj61qo5hmngjnqhldlaXW2oY+0kc1pr0pGXK5BPW
BSxYNbe4NAO9x9o8bii6YI9FA2fEYwfVBoF6ve0F8XZEFRW2x6FQOfNMSQWvbtZsjOqpnWJ6sa3N
4BZgBvAv32kp9d1///z+p+c85C4rQmGyFv/t+3ge3UxMif19SobvSLgqODK6NRG13SdgMLumSLqj
0ukvo5Nmy01DPE6pE/zDW/0/fV+JGQiEZZ+Qyl9BwLrAYskgMtxX1eAcZye/VnhBIsvMvH9wX/39
J4VnzdIWxDVc3uu/PH9Zk3UTtwvSSQkY6XkI4DHV8r3LTLH9h7cWzfNvjyFancm9EyeL7f/7z/9k
+WqlZRuc+fy9A0loW45GftCs+LfC9OZ7z+CLINr+MS1nuS0GTNabPjBbkDsKVZ+L5XQIO8L7i+9z
2OsG13sYuBF+uGMbHCYPME2MXLc8hF3vXPb9WF+Umcz3SmeLjBprKOZdFZBMbAm9oFD4w9EMF6hh
MGV2oVbL3mi7dqN1K7a2C7eFf9FkmOOmtZvsp160XNms5GqAsXLD2J6jcpd13jYdZ2YGfpDfJKYs
PpYWE41DGnhrVsQRltA1OEi3/rFk+Pia26tzw8QzP6yd08UEIytQbBqSAZWnV1axbMKytwnmNvKY
gd2NO2nRjjYPzaMjdPMqBtV8UExFxWHWKsFcFcuwqicwumpcdipU1SE3++LBMJv2JjBlAG2A3N6m
1DNSFvyP9hXTdXKlMcqTSyQeOMo2+PKmjqFtYtpvpVG8KOyyXHSN2rsgrX1jh9q+9mW2oVX6AHxC
HtRo2Q0rQCruLSsAEWZnXnBhOnZ3s5JxjdK+9fZdq0ti3n1DtwxXeMhD+QaH31CdxhpqTsQqtVyG
qIEElstBDptBJIMf4/Cm2aGdxh+OTLwnk60uM7JgEMgH67qF08NbZosBDztBT6tT4zP911Q1SLfp
PMj+ZvjMsW3pIdSE/VNQcd8cBnPEi82ZW3uuc9mOntzWrZl0UZ6enZ7tytYflakl4UVVRPM3GAvy
g0hDvVMBn7foxrMSaHTuR+KV0ybls2URGi2cGI2LNNcwUsRp6LzZGZbvKDDL7GZMW2JXtEfyc4I/
7vwsHjMrp7NobElyCrlnuX31DNZAkTs3iy9yCLwGP3H5xpOg6B4qh4PQhhhts8044hCS1HFlOf7v
SvSmiGDTKdhTvZ1grhENtqOiHJZLUcr2tHq9V29yQDk8QqkZMcD19mLlgBOxHshPD+EDMEUNdyt0
dHvUofQjOyVPPGIcuPJWUsWExlKEzNpYdQz0iLoXlcBBm9ODa9dc1mZl8ftmk7brKAt6L4+lwDoQ
GUa+XgoSdQN6wAnzhb5IeyUfbDX1cZkvO/A22aMww5mBatPvOn63A9IU6b62Dw+Ba0o+31mCpJj5
fpwRiNzbqwFYT51az6Md+BfYFn7Qh9ttPtDWobO2fQ+T0LM4oNrtkXCExmNViLgUI9wha3WnvRFg
UaYqhHffDMqrYIArkxFxOWaK1tDCQd21u1x+UNlYXBfKmg6BrZNvotNuEsH2mu5GrCnYrMzxIfFt
81DkFChNy5jtMXIjyBWZ/hpd2d+JsFsOIZmiPYpvsG0JOO8IXKOmiHDHNXe5IoFJdoWQ73b2KUzT
AwbxsTkB2w4uOmIJPfiPiYtClwaMXpOndBmdi1Zb6Y1RLuICC1P4kQee/SRWt9+ie9tupBPNNVjp
5CCAOTCl7MmuuzmPQmCkhLCI6nsNh2Mp3OwibcbXINDdKajNkgYBpJNpGIYDxVPqqselBReF8tpN
DXaR/IEucNgZFfLaUNSbGRtqZLvrdWcj6Y2Fvz6I1kemXcv8c85ZcU3jHNZKrHzftuV8S7HHdCyI
IpE2NzEJlGv45LXOuiXTZGwUaZErLs6vA7Oyfd3JOQ5V0sWpd5tU8t40S+SBTHrHabAR7kpYJes4
7sE3GTv6U6cfNQEpQJUoUVeDwbBe57BFwq6YSSVZtwmaIo1nGskR8RbrsuqRsiMvyCpMD365cat6
2tXA+KLO6rlQWF4D+0aP90lH8nCnHR8KYk+5B1DV3xmtW06++8ghad0PbdZGbs2j7Fnm3rI8dztN
NWwg1d81ub60C4VCaxlNvLKC75NEfVCQChqRV25rqGQpqMjWgWrQ+d0myykomgXoHHuYbHhuQ3Kv
6Mnc+kmKWytwrsARqk0YGGuEmjvvpmlo3xOmUbG/WHXsLestwjcc5Ul5UwSF0XtVEDvwhqfLzm+h
CTOFA6EXn+OPHKvgKT1xLmPuoXL7UHl2stf5VMUWi811Ls0mspiOP2S83jcdwoTYlIAUeDc86c0s
520xR9YZ3Lrx2zoxtySESyL2Ne8IHuXVv61cRorsVqt+GTP0XCgxxBVbP8RklhbLDEZdMV3qu/V3
EbmiuhfozuQPH5JY2pH/3Br1wdztCkc7sQW2dIMUe8/avyHSZF3zELZn6k8SCzss35g/tifgFGlk
DetKSnMCjFSl2S7PywURB0ZOiRdQr8l841fO8ygIOKWh8WRXE3oQm/ytZ8CZ6NYEAlyZWcqPEqxq
+EjOQU7faR+EZz74edceahIcUQiJ4NB3ZXE6x28Osh2G40Bc/kw5ZbDguXwpGPyIfVqj8bKkMMXS
HTCyRlSX8L/E7dBU+UaZmXqr0bO2reNuE2MpLpRmtZhJsf6yISFTqak6rERin6B/WSAAZ3f60dXq
kmEyldwUulujFegdZ0Z32RlGUB+CqpZH0mu/tRD1aZ4S64EZcbvT5nKb67E8EV504zq05yEiaDc+
Q91If9211FuoVMtNGyzmkWBtsjNUqO9Xt0p3gNy/ddgO15Yy0l2F7+TkBQXWqLIYysM8mvOeIOsS
MyHBTCnNuxZnbdzZGRHBYJx3a3KeGqZOqk6FyzchmIWJO5WY3SyKdVfPeXnhLHlYnXXpfIpnrBAx
iJL6S8yiukiUKPud6nlHsLVSNKoA7MErCnBfehelM7wueq6v5nq+RoDvvl3ZDJdtYzfUyFRzzN3w
mmribhsmXfdhd567l2Y7HqW77MvaeFbJwiRiWJt021K7c8LSUWyzhhh8Onjyae7m/joEKrs32QQP
c5OeFPHGJwd8GTS/QGwANervVk0rO/fZZS8wa8b1kE6bRrA2l7VH/TW1zHdnHEIM09OLAikMnGVm
VW8QMsbbOdMvEJL6qDYGfJdjFctl2tYIyBu6jJptBQhI1zMQgbFe92PYj3ElCD2vjX8lVoCaIs/z
Ow72LmJtkWxAqwOjwwgqIjnD7iiMfNf4CsSK+aW8/DBMVn+shkWD9unEwa59IK/WyC5sz6Rqc3fd
V4wjhtDfdbXrM5BcFuCyjRGcwhqHk6Dz52BXj0Dv5IZ5ubXhCrVRbdrsOcqXW3Kb6dbLimSfjWG+
t/n5wPzcr55mjFdfMo5pTJ7mafG2a7Ee+qZ9gssTRN24nHpjeA4KQcvC2cc86rewxz9jZ8ZXkNfP
wi6vVO49pCM7VC6tm2r2f9LyR08Bo/M8H2DqpI+9N4BkapvT2UCXu9aVIdYhhmLbXVbaAMMWWrjZ
wnKfTHbwVRMq3aXQMdmlYhU04x60qnxZ7W+kuGoXiBa44VTIuGqbKhqIsPABdvnjQA0cq5h60mvw
7LUFf7UfmKXeATpdZlb15pCTvuiko+Oh0sVOSex7Ijy4Uj5OQfGmRItPzalit1PXtlfyuwu6sLxm
nLYDwY/z2HmKhDEUG8dFvwAFfFRqaneTV90XPFVYdrNPZIcjZOONEbQuACgr6ttx3LRFlhw8S1Dc
BInkZmn87qevqhDRzD0ya5KnMHfB5ibTupdT8lnaPhdzrvuP/dmcfb7k88garveV4Vbayc6J00S6
Ox2a1YlxvMkIY8rORymv3Tr24sdZFQwbgqTFJrBCHYVKXQmHmWunZs4qTRJyuZ+cvZFyReimHFuH
a3CG4QVDLyxZCoiKYrFhflTzeXNvrRlc+g9QoG8ce2LuK/Q7KJBd13POVx6nT1niJ3ET1nzCVjFD
2/tsta8ICLxAZ7yWHllPNfO5p1gFMXZV+phlK04JRz2ZEIIZm9iRmIvmtbDGemMRt8bz+ukbzgv+
lD7GO6zBXHZ8aLp8Blkx3C4gP55nxFCQZG510FNqHZxV1NsmyZaInHLxkY9Dv89w/bGk1MXJJ/ce
LaC6iBhMnG19/U7H9rh3PI9XahYTYv944+L2Yphu19vVroZfsLf2TV4z+NWeXe0W06x3Rjj3G9B1
V4o7y67g/nOaVMLh6Ey1EPpW91ww3CZoXzNipnsan4c9EstDi31slzTAbcb0OuB4eIMlYoAbuqJl
hAnh61DAxilm7s25pdvrVZiKCfVc7kyPy3Gg9ItNvccW74+5w9luYs/rQxyx3vwoDMXVRTWcJfVk
7tLar79mXtTJ13618WY+UsHU5SAyY9iz35rXTYupPK1LdZLtQS1rsfVULa7MBWR62gH1K+3AecaT
7D0Hs/uTzJbYCKHGfcYM/qUaq/6grMJ4aJpRf0KXSG97fENXS243cWHbxr7ps3E/y5nMCbSQa5dc
/9ZBxtn4GRkqs2VIjOEOwBXnvs5/MnGgGkPa2zvTyvkadmh8MahWaUZDBselA18AvK96W1qOiimK
1xdF12qLQWaJM81RqOeKvA8L10arLjgrAQ8/AAh34fl53gkH1fI2rMuGC5O3rXh8dwT+h2PiFPaW
uQ9IEJnOt7npMoZzyubkU9KIW8G7yxCiwHDwia80TRzE6FpgY3zBfHAa9uSB8ytn1vpIu8BWMevd
hTzo3KUkVXQF5ogi15wrXeaX4RmLwPAUcliJu2oEI35s1lHvh1l4e1n17gU/Z9kOeZntV0wTh6Sc
AjyNYYLmUrcbO+c0zwXsYeqE/V6qwoq9uf+eQ3t6tcr0XUEFumpJ5bxU+frNdVzfh1PLBDfVkBZz
gBQ7q9TjBRPeJyHcF35sd1I6PILkdrZdxnG4Y4wb6wTJTcwdUGKz1WBcTANtSOnO3kpIOodQGti3
ZI4PM1B8fWj82blZnaQ7Ln3OC9kdC4NG3byMBdt0UhL5DtQANz6DPoq/wsM3NC7g6Y0pjHWYNR9F
mdlwkXLzVrStvWV2Ny8RIXB9W4rwk1nxmW48eGf4KwRxBwzslKxAUPF4IDANPuRMpS9VTZevF87l
cZwVkmibeNvWIMJjGJCbqcQA++db+WnJFsJNrq5BxFv1hM93fZ86xzyka7q8ZrWGc1YUGoXD+/Rn
6IyZGy4xDBdsTdJubio7qWPi5PklRLYCa6tdHPn63dHx3TDJV2l7oKw1u0xJkGzXus4vxDjmFQAY
FNWLah4q/F2DPd4thel8j8XUCuge5bIfJx9Kve2t/qtFXLrcOpM/u1s9ZPlvzZfMJ7u8gEvI0n55
XGXo+yQ8DJ1sA2PuQZ+XunqFGDFsjWXiprf266MpUmffAAx40kvp4O9xHwqKyg861OWXxEuzg1M8
bwI6Jrf4yru47BoXs5q6KPvxOpCWPlVQWXAfs3fwrFYrqDoJstAPbF6Fv8LdwcfDrNuv6md+kH6S
lapfYaLaN1Ytr8GkYkhSDUiMLMTsbE2w94ugV28NftpT70qxBWSE9wjQSHJgBDw+TZABHspkbB/z
0naucHKY28lwcKVByo0Wo0Bl76qmovsghErf+/mwaddkhfONhSjG+8L+a2AwlDRayjEGjmVQYHY2
FjsZJikM6cmuhUQCEKI9F8iWbAaRD+IAVkfbVTsjmZoPkPrCPX8mAHlZf64HGZCLhPMoo4TL5H7g
rQ4u2b+zcpcLfZ+4HatXeU/UT+7DMZtjF/0yaiC7X03ucOuklrtByRljQBVehJnsGsHdh8s8xd2Y
sPAyR9gZkCZIsJFch2G+afAUxqAd4tAAkGHMJb7HMWzLKzctcKi03bPf5kW2IXpgcEFovA8ItuIA
fEHEAKv67UTGjVlZP5CYMxOef1nsZUYZ+Nw2/FZ99jrh044ERpmtYZXmHunje+3oPFfzuEb1Oj0P
S3ZoMcTtUWot2P+JedsJuE52GGBAGoySKiXfOaheEeTKyvZkB/m919MySIznlADAMMDrkoKjn0Bu
UXWGK78rxOcM0SvZyEJKALvnSTv8WbJaidn0F46vh73vuwYsR20G314xAhlfRPOC/NHcqaDr79Mp
6F+DEGI+7zz3YqS7nTVq/4az3BR7LZ1GsK7/YHD99Nk5q7Ba8427pmsSmWGVfKLBcsJHL28ulJ32
QFxZ88wIfw68gqFUBqUJaYutqaTdldiaY1rz1rSSFS/rNDN2lK5i/t/ZTfjEXjoQtoE/C5+beA0i
Lk6V9diHS0MmR5qMVANsSGvty6veLYun0huTLanu9rJLvWmTmOeJS5Ib7wuZvbnK6XvNoL53w9Td
u1Pj7CXWohtkEZ//dEdCNKUCIHZ9f0ZE5ywbxu0MuxOKHMt0hoWTSc8cK602bgPtOakq0PawEOGL
nM14Sdzo5ndY9ZPq5/BJzdOZAZ4uBXFC1UFttNZXqeaXtcvJk/al2GVjvjG6Et5y01NdseT5Ka3R
hBjoYKrNjWcoRvkmzNEukd3LOM/W/NTgrpAyc3Z9za2rTd3igBeZy+zo4FbraLY5coIdFTRX6a07
kx6YLMJFidHFrSfIyDqA0O5005BiKs6GNWKqYlzXnb3UIB8kOg6KRvZAoMbFpTbQi1F49bbPs+aB
1DYhIL/3oOM0smNKjeDhJdE6iP4W0o8DkZsA8qOZNu1BlymXSM1tpd6AJ9EnwxYkkRZzmXdlgFmr
TZE1zcn3Xnld664ncXMeVLj1s72OvX2+sVQkHFIYetba2t+LgBISAxuhRSGEKBOjLDZPwXJeLEsM
nwWunsT+dbyzk2cKAmMPrrhie0MveXHn0n/tl8y/ZCJVX1VYBO4ZfPpHT9j2k+mmabPxXPh8nKod
gMZ91YVv4xLUHGRwch9NdjiT77aJQ3j1EO0GV/JsFWNNVxNZFevHgcb7RJTRfE7MovktfUVetA87
eaMwLTJigFy2kpFySmxgrnlMZqDYJpORh1zSq7gpM6Nj36m99wWbzY3bFNVn5a8JiikosQHw3it8
/JHbMbmqj8IN11MjHf5ZTTjqosrgwoQJWtNR0tTuQ1hjgo9Jr1ofXZOKw6T7UeKSyrzb0oT/Hwdt
l95C00LbzYzdmQD9bHZh/1srUT8zREpeZCrJpvHsb42Od57kiyqPHifJw6Ly9SVZgMjj5eTRXPKk
fxOYDD9QgZ33CqhGPDYrFgI7h3jXcYRf7dGnUdOxTo3hOGwpdbGV/jL/CkhPsYFuA9TGIc7YBQ6e
0VbZzwbm86M9m8uVnqbwrbCgE5l+V0fmEuQnD5nZY47RN7um1snHisjCA1BX7VuAA+60ctbmUL1W
el9yACQQKLtsl47uI5uX+hkBIJIC1OaeYYMBscnV6ZZjXkGpmvGeI/fUcKRYkPk7/K1WSgw7LYtr
fBw9DRJMJbZ23QC99wNgd3OK3uXmlCLhIJXNw9JRlxCVC6QnrlSIkI7oiivRT9XRmZbgOCdZf8qd
uvkGlM9gsLZ6rF2F5VdrBD+vegSaaJqbvpT1FQtGQEIVCMothSe63nNNnkU8ipZbdE3NsdyqvCo5
ZxOG/7IKPd0hWE+3YH7aB9D49Y/bDtUVZrvytA6J9xs6bnCV9E1zibmTBLKwRvvXHfr6pxTl5ETG
WA9vCuvJa6E11sXK9rW3CfKWnBhoTyeJADR5cEi9cJMxIH3s3Bb7aQDuGZNd0pn3hu6d59SX8lul
+tkKUUVVx4kEQhYhLr8CMI7i3pa3hFWXD9mFdAhqtNOB8xSMfx/pfT10PbKeG46dpBJo5k0empED
huE1q3kqstaR2BgtvKF6TvJrwDAugU+mrqwRdPHsbIAPFyDztL8p0St2E6hL7tZqBMkqMOXuRVcy
iG4Cw7waW4daEL4S4tocfAQ7v++X2KWd/WPQTVJuiGC/OlDGi4302+w4Sl3fZ3xQVG4AyX0CXY0r
kLYA/5ujkYOJMpfLV5ECXoyrqvGLwxnLzkEKOhgNPdNUdFhP2TOjHqK9F/uh8t4H4opZ1HDkv0gT
e3oC18TOFnrTPl0NVHtDWSGxieVTa4LVTI6nOeJqzXPCGYlXwDDBgmdet2y56Ngzcxz/LaXp6BtI
dYJk2btx5i1YRSzrEpws+BMdONrb24SA8PahYAtARZqBh80fPFok04eoWcBwbKHjSSYdmAj7rZPl
SGedVXwlxOSPvpO7Iq7S3rQ2hIryrayS9ksvPrbY2bHY/hndLBe0FVSxOfXe69oydWCIweVN6kSW
B12V9ndR9ebFoh3FBXddrP0ySrW3y9GLoTcuO69iCMRXUh2ndGBQ5jNMu/VoQyCo6wzsJl3Sfa2w
dTjiCUO/FH4mSQhzmqCw+tcerfDCNZzwVOC2up1Wm/4GXnZ3WnSnr5aFJhZmtdzxF3iKHnl3g2nf
nrtNnW24NTe/4MIJ6oVVkd9mgXtTMffdi7SlFEeSLYDwYMyHQpLopkoc7KXqnA+XiOe94RXOl4GL
P4LSfrkIq/4eXLs4R3wr87BOdYj467SvIbv5pZHW1nXV1AYJA/FPRoyz/eE/LS+h6eCCYuPG3e04
Z/vEnxwLYM39hi6L4HynZ3jKjRnub53dVPTJs29zVL0ZLaN4MkdCjv92Vf4HS+XPUI4/OpP/9sMB
fJg4/ATGm7/4e1ZhQIrF8rlfMM7ehF6jD6PumCJgft3b02zGCXeyc29CMX5PK1uKHgZq48bSghHY
fZUNRR1BIBE7G5POFMWACUykvZs4xjNvFtatolAKWUZ6kOLZUdeD9pz6NDnFetV3+XUnRkYVLtqg
jVOrimkDpzli4gTMXl8ZCNul2NMkDTcSdxCQMdayQZOvh3T7OA9cDly65G/b3PsqFIUyhj/2h9Zg
wS9q5dcwXs9WqTmw/+GtE2e+z1/euhDNFggVaBWGwWcnyp8+N8lXibfP4bSOh5J7g3nrOPNSx0Ox
wDfAsjQteDPskLm7RZb3Iu+GZRdWW04BZ4/BJDZJnoZ0tGYjDWWD9La0q4xHs4aFScLhYjYH7rtV
yQHYLooDpUL/1OH4F9DP2e0Xhi4DLSfgf/HnnJ1zf3oJOXtJM4YQV03dFFxxwnGlcnWds4vV6O+t
efQ2I5tzvCxddsLuP/ww8RqO2jy79RDcXEuVPGITMTiFb+O/m3n+btvjl3O84AyeoWct/Mv7m6Lh
eZYnw31JUIydHFDEpZko/Q8/5o9ayb9+jqGD45FHgKXd+svPaRgY00RPlorx50I8XFB5MU162Mxz
5X0KLvCskSVoPytRG4oSvPucQyhowaklvtCL8KZaghLbDA9L4yp5Q2rLXKIyWY2tk5uPTV92z//9
rfkDU/fn35n12rRcl1ZFbL1/j1pSxrMiSPDdGzvBorAK5ca+iThYJCUpQ64hz2F5A7e4foP1b1HO
Jcw4I+NwWpzF22BmWL7dIpz/3Wj8/5O9/0RwCvma/ukjPDOi/gPfdPXxnS0f/+tWf3z/dNmffdrW
v/+v//ZpB+JfmGIdj+8h5gm81ViEsV/AdvKdf+Fg5VMHoisCS7BJ/F+AEzAloCmhw2pk+SG/SPd/
AE7Wv0wfn2FICoocMTLF/4tN24IA8Nclz8LaanlIpmfIlP1HCemf1wuLoQAnwG43V0PGPA3c1554
T3ZjGIX5nLm99RKgRlSxJhJ6CeVpsk6BavpjMOXFg3JEfqOhabRROy3ON/7u8HFVfdjsqUQV3mWi
hiF7xqyQLLh7avrCkkJEohHQ+A3bjDqTqTxhmScfvSnus2G8aRR1MYWejahR02PuNvIxXZViL/ft
G41Z7iCcJjh565oddSqHW4m3AC+Z7841ylovm7jNjBUswMIUxV06M0beWS8C05rgGQzBchcOybiQ
kfGq+iR0e8/2Jtf7Mexq++hlq3xoTGjTG+Tv8QEnHWGs1Zmshet75TB5dSDRH0VajW1ks9x+MzUf
kPYY/XLSQS3pL4eZUrsTIFefnqsJB8cd61DzjRmBs0yKyjtykkzD75qqsc/VwvlxEIzH5bb37TJO
i8mAcRGGutoYXLHlDbZrNZ1Wwx1/exKO9fWcyfad6J71WHvifIhMgjs8Ki5T9AJJnCkGd7+sMXGX
B94nSDZnPNoeV5qohWMKsSrzuCFnc0NPwqjx3Bapk8eJRVCbblbzESR4/kYmLP0eWkNzWOv8a+nn
i084tu23SYZ9NWZKPl34luj3Kk0AXp9TinveFceKexfpHkYr/iuAi+vBHcvpDBdPL+3KkOX7ypfj
nsS1gQJqKvNk6KBkcg39ul9TzuoNFZgYV+00j5uB+FCVeqQpbUZFrlPii8DX4J8MTraUFZdfg+Tb
MquWkimAWQSK8rR4QGZLI0DLJexiXvcARz4ujJWCgNSZ6w+zntGE88H+TSsZvDha8iW3zK6037PG
p6GnqcbYH+ZP26rNiO4e41DMVE4ih+RwkNc+2/QgQC68Xt43dpFTIauzS9dd3Du0v/BN6yq/SrFR
MLJZ1myPjzP40vjckORMo3od9TwMDFvdmZrAPJ3TGGcvwZ3BVBmqZFHN4D4y6FSnTjGT8oO1JSFZ
pd0lid2cyZC6PxezbPPactq9U+BjauzwsXKc8Q3nEZgRZsBmHFJFA8Bk7MpgF9RJYFOVKNcPrvtD
9jKYlMniCcl87tKZx3lhtgxsK6bPBAxb14qiX0OmVkeu56gLEFCzVwavc0u8L+1rTFT+OF+2ULq4
npZns7UZCDvbOaWH8TUzJuumg23kR42nvTd79TXCWZBCPNwncnBeziEN45rCtUxTpJtnw45hHUqz
c94E49KbbHc3LfNibiDJo/ExV3RLnnUaYOdrBxV8uIKbPCEkoPiQtg/5t+4p3S7PuK3Eml5ol+Ek
ZvpVOdOvibslzqfMZOdfQiSjhkvBgUhb/2gWlXvkxJK2DyBjqDuhNi4sfiZu0ZcjjhAebLeBUres
VvWs+UUFWJmi/KmmPtRbO0k0cMiyNbAFuT7BRMtcFW5jmnAJCA9WgnlurX41mHfq0uyJ/uiiKbsj
30xMNE0ufIqRtXOnx1xdK+W6354xK3FwyFrkp8Fx9SenTrjNDA/bcxhuJl/PH7FIzOJJeY71xB0d
4phZIsNXpYPT0mzaNM4CGtN8Nye0D30KSnFCH8kYlRnh94gF0u843A5tHfMS5cbK4dvwhyT2omou
FUWQSk9vI6fZq7F01UvNzRX+Hsfz62ESJQM4GhEj3TTzlnUohWOGmIJnoJ+uUPrD2wR3NhizIgt3
heHNdzSgMYzKlLiXo8pIWtK2RbpbpfUxaTE/Rk0103zZLvlF39MK6Rq6fbSUsF9k7007SxNCW1Xo
HfH4pMiNbJFyC7nd/JxTHC+2wSx+m9JzujKQWIe9uQzhZVP3Rqwo0MNtVNOhkzmquTH6evgw7Xl+
zyeLaXFmobcNY0FJ4Jjcs1vmAS0OfvdYW8X82fa580057fQ4aTnRaaYeQpalOZoQcLttNtYPMMXn
AjtN1pxwLrLyBhZJRku29kZ2I7MYpYo8dp0eCDfntDzbBdXZHdxV3lvqKz7WoVPdBa0zwW+IKhSp
nKuPmYTYRftevvu+hEVQu6aYDqYYcHuPFeR5UdUHxjL1VlNueO0Cu8AXWPdWsVssXjCVH9ZPA1bj
EnuZfSbypxbIcqrGmg0dhfVTW01M9JJZsnepsXGODWFjTseM6ZiDBkzPFlBM7y79OHfjsNhXRVuG
N0ojX52NcV9szfqSpugO+iKD4miaZywzc5leSOvcCNQuLFSuPet7mQv+ucfkfsPv0r9jZDafS+aU
UzTQt30vzmpP7i4NaU8P0cMvfvBdVU8ewdztlMi8v+bTU2/maq6bmYqMfQGggim2Q6IRdW/0SYPg
TQ+uObkQCAqVfF0sOvXa0MizIxfJLGJUpmEu1SPPmz/bG8vMvTuT2QRWnyFc7iywcs0DkGrjJJxa
vwtL8QVLnYEbalK3oP4nXY/QsLyu//Ta0XlH7R/v/jd759UcN5Jm0T+0UMAmEo9b3lG0Iim+IChS
gvdIJIBfvwfs7pmWxvTO+zxNTDPIUpGFzM/ce+6YB8I5Ej2SPVc6WtIo3J6dv5m65TdU9v0bOWqs
CRDLt8apw3Wd8ltNg3Q3RIMPHWUicszxcv9UE8EUYzglpWsFhZvtPT+Nw8w0fH9AvpWUCDUavpiB
oL11Uxvhhu44mfnjWo9LsG+/7QnHBauHH39TU5g1qxrkwh5YVv8DeWXF5m3g/5tOrH4QjjEcwQnU
Fy1a/+QZSX2bVYTjrTqfbHQErkP6JSeybR83RXdOYkKHyUoWp4AoimZltQmOaitHFRAIWsY1E1N4
lD4WjRikPl9k1IIuu02LLt3VZA2/NkGZuttmdKbXBIzvW9+NPuv7bigjnlh3YRIirM5uLAPtN3/4
Jl3ZfDvblwIG1arwu/Ia8Pt8R2Eab0ihs3HHJ5KNAg6BmQ+rEUZ7O0irlwBzAM8b0nEkDzNjlzCD
2dl7Tf21rHpBCNLUlq8ZIpyzy0r01VGqAxHXAmOX0NHPUdVYpA9bXnbE3BZvI85McifBaj71Mmre
ZhOQ4wrZm/c5iT1SkYhaEfA8pvHSIv99qALFv61tK4htS/jHWtcJHqAGBf7WdqPqhlOfvJLWx+5B
scPmhSFy9AWT+nLuoL53OxsODd0y2rwWtRWRCFVaFmtnnJoXmaRcNZBq5mvWPp4LAW5Ur31feVs/
ToGeFU2WXTusdt2VrwsrW8eTay7DSn+86ltLuetOmvOXaO6Dh6CpM7mmE5g/J1NsIooYy2FDpLv7
DHt2iO8zeDI3aLqcfMsBI997akuUl4zwwl3HzcxAaPJOMSgrMJNFL1EDOgaKfT9m5R3xOzsQXTns
PRLrWI1ZrX/L8N9AwVBq+15w62xqEanHeO6Te4e4jBs9RdRtsdd0t7nde8PODGavoyQxWA6B8STJ
AxuJuB9EkJB/y5YIW3c2QQ9tUAZEo3PX1BzUByReEd5wNGhbb/CMd068dMf9LHbY99Pv7ETqDaWQ
9yUgRtradaYh7kx24y/VnIKdDWLmjaKxWdTpqQ9OgCj9r5k/zDfkMhrfSOlI780pbhFJdH1xxkvj
/2ArldSXOeoqlnWdV7yDjuwfZz1OB+bDw9mvvSzZuIQkADwBMlMCTWwnYjYZMLGrbgpxwAxkfCEc
NB+2eVd3e7NHA1jELUPtKTGRQXu1s2UA1bLHsfP8hMVCx6QjDdPTLNmbV3EK09RHMuZv8DKxA7Sq
+tJXZIZscGe0W11GyRlAgXm0CvU8mvBtw6hKgBBMin+IjTaciHqaKVGfxtiRx6StOXlIv7lNtN9v
PTLBo1UyafZDHF7wDeNHppxyRY4uaqa+Ao3RBT8qNuudcNrjiLR627BC3rlwffawBCusjlP4HZpe
d+3aFeffFBA7QcqrvTJ6d0/gWLzXlAjuxmZm9ZkQj+pmJNfl2KQ1UqCJgCQCf7IzueTqTWMXuvWN
CT07NBvyvUa/enC5+3ZC6u6Aiit6oZzpEC3Hd0nJ0dyBpqWYg6LByIc1yVCFJOoMyR5kKBr5CJWn
siNuagMFqU70G91DfyT3O2Nh4RdEkWNJec+a0tTbVOdAJNJYvqSNzVAcN2N/0nxA1oYxoRpvbPLA
K7TeJMoPr7Ns3ufaoLYiUG+5TunG6hgZnpja9jShMt3TAkW7IY7papPJMa+QaZSwjAlnbEBZrMiC
tndQAsUt+zK4uQ1B6mfRZP0FjlV9nIy6QUDpEb/lwRRZE+chANOFD3zsbwUsnmFUrH21e0MaO6Er
4APYwzFj6ixyw/hzstXMIhzbzZzGV2RRMhBMJ5U/Vs4YP5mRAMqHp0JxwTZfhNmPr0mNtkuQaAJc
AfTOFSHA/kGwnTxW5Ec4e3PsXI63dJy/Mra+ZsDcXhOFzoyg6w/KcgicLlUJiTB3FNKwFm9a5nnP
3VQN3+q5uyIbsDl3eYpO2CKHhiOGmBaiGcxvhOuS0czCdsc4VkLLMuYzBlMY6vmg7ouY13bQtGK8
stWuyclm5iNqeEewzvbnSvj6ofepzacO+xwIFKP/2oRgdXpEr9uyQADcT073TZYJmnVg1GcvCPV9
GJEwgeLB3Gkmecy+hbtzDEs8ISgDvVHWUTRshnaYzS3VyA0RiH6zLSADM3NXVoGsq4Edg+ai7NcM
StFBaAuUrqBroxs2nPqlR1bCxo3FyA8/D3v/wY/wOK8tuyzpTHo7hkldJ++tbWhnnUEjOYBtL1/G
CFrjSjl2HuK5Qb92U6Q1O/JkII3PyOB8p479sgxhr6F0Wu9dalTWisDBJaKQv8NR0d3sBItRE9nN
mDxmzagRBMvaTlBLdmWJNqyRbKhEXzPHbubnIa69o88E6DiqzqZfGJ3yxsoI+8UGBzIq8gwLyfjs
Zyt3GAUGFRdD17ove+Pe6iZWvnpw19wv9X2c+/2rnSccAJ1VHGwveWlJFz07UJ1L5OtRtjE1cxb6
OmIABcz8h8af+kNXzo59FY3Qg9YOqcftlmChGUWOWaArcojJQ8Kni1I+pk1im3u2kIHDDitfSsbo
onVNbFCb8ovoAyQa7FRJVUGyY/6ozVF9lrMbPplj4fvYJp0QMT6hSs9JmbQnJjhltcNECFnbrkeC
Bv3UQZdN5Mt92VuDuKAh7btzFY/ZuJkxlG4Tbej1xFRi3zv+16BokKM1tG8sBk00adOcmHqNmx/0
OBEgL0HJjYVbB+QYcUAaa4ljPNQylBdDzB3k85QQPFUNLzxySfuZI1/g9lJFem2FjvuWp0o+MZkx
Vwb3EZV0jaoXMdxnL6ibN5coSB6mIHIuI+7WnRXE+XuK6CM8NHgzAsYPbdYiCHFGZjtB0RKnAws5
WTmYEsAC1XoJp0lqfQXFpVvaQhUxj8ibjpzoEVU6RLESj1pdRwuwp6t885zHiDlWCStgyuEUvi+S
qaIn5YdOLN0hUpDs/v3B3LSZR0S529bq2QmbpVTuKmS3SZfnDxnjQA/Cdq6uS9oX/msB42WNST8S
K+7pTJwar3BfyWUCdAPnaVxnmj2AZXBFgbxGKYe4ejzpoBbfIK/WT6Kw5PMsynJEshUbN5UEd7Lu
XDbO0IC6iaBH9Ec7cPYtmOqBPM65zvJ1OKmO9g7RSbOu075GPkWgw4vbTPW+FEp8zsNSQuopCwxn
va98ABiAtQXzD2ND9HN2Fm6eoR+i5nlOO4PYXkuQ7ZY2wrkhZQ1rVdFXKz7BTn5XGnlz0KHT4AJr
6T3WuG0RZVmtKC8WyUiEPTfkrG8KJ3Pr7VAsAKDQLowBhU4fFvURTG2oYK5a6T4bfBKXwjwcvw6C
Bot3IjvEcr5q10KNAe/aFzOAemL/kOAFEwM0DKnhq8pj60GCuh22bi8FdQIZTWfRDQBVI29IX21I
dcwtktGwdhOeI2MNpLtvT4GvZuhLiqaLj6eQmywaYWKuUNhFz0nSd/uitMWJgYif7EoJTpFpbf5e
NoV9RURFABQ+U45aFR0CiesEufUjKO30qdEmEDNSJQVvc5aVWGcs8Cc+Ygq7E4vH8tRPWBPZ/suG
sN8hCh6KpKWbH22On0lY6bdw0sQVKttu7AvnBHvGyLRqPqCZV1hHOTZtiQAuGBzQVoOayS0e/bfW
U+2XXNgAgDJ2oMUqsxnprZLeh50TC2aP9AKo8DJQYCnB85YTkTyW+OfRbpmVJkEqPxOjjVbM5/zk
wE5BphB0ZRC4m5WkH2+8sp8RyaJVH1YiVo25GZKh/pwW+YjNd8rGrwKH52b2G/WVJ6m1Ly37vH1U
I4K/1PhAvMX94AQbw+midyyVabzDIpEuEtDSaNZcS5wrIyGkxZfUGdzTHFSYFU2FDRsxvoFHzBAw
r1B51eAjO3I7h9qcLlNp4IylizQidHgLMBjPXZ5ubWyItzZmwXovqYxaWiaiKxuTZ36L1Sa80iPa
1HVL7t8WJAxqEp2RtoWpdmGTcao6OKCLcWcQ7qouk/bKZm0se7E1SbfM0fANMEzqfME5MMeBJJi8
p7rPudlowRZMXpgubheJkBE3KIm2lKc6Ylg0VfyDI+Low6tOgUjY5YX1Y8gMeddKIMYJbAg4hUbV
E4EVp8hfvBiF7srIyRzcdhybmEn6xriNaDXko53M0zYSQ0IDk0IbBMo/IGDtIFj+wHwyveQUZB7i
eTu5Y4pLLh6Fa4N630/uslxOB1+yQNjF2eg/1omqz/BoosclxqBbIcRLAe3nz+ikwm2V+H52TLlE
tiG6PyBahFls1IgblIWO8V4l9fSQ5gGSCqiIQAHgW/fTOecqxLWPh51VPEoANtnLLBsz9BvFXPvN
TGXxZTZHEgYgH3dbmrX4ZFgsm9Z9tbwj4O3OyhELACzO3e+W0Wi81hOZswwUzox0yOt0UAV35CWq
jVFUjrWafT0f0CVGd32j67twRi4Sp+DP0S1F9j3pT5zZKGH6Byiq1niOG1XvILDLaAe3fIjXhdEx
ibJw48+7EIl5cpB8fFMeo8FZFuuxxlxt5dm0m2drmC+1QwDKgRhIh/VM3Eu8XJltHREe3iNYQssy
WtMr8rutY7jVpjZT4hcasnHfWMigAgsa+5mabPS429JY3Ge0JljjMomDpxXRQ4u04oFaNJrXJpop
Y22yigLKkDXNEyzv6gcCa2pRp2UOsJadWXxHdiaztXTSHK75yLC/UUkDcmt0wJ1y0FNRtqLYfywd
/7uf/av9LMEpyAv+NUTr/L0lXuenvexv3/I38LITgNwNLBB/H9vWP+1lpQRpYoJsQ1HH3vBvi1nL
/uSbzG1Rqy7qkMBDQPL7YlZ+QuljWgt4mc2tD535P1nM4v79ZS/rs+JFwcHS2HRZ14lfdByBSg2d
ZRYYYRp6il3ONeZLnH8x/6BLmTLXDE1ln4UzVwcq3R5TS0tJIougviIVp39ytctYs5Rx+owGiArM
NMvqmIcWx2IgM+njaenLHbe2vCZKUMgjpYBOLq3XVG/u7KlzR/Jce1KmoCrAqKiGXYTkEBP4HIts
2xvB4oAiNGrcpOCrGTXk0XsJ1wLewyCFs+FRaDWSH+AWq2kYx/KsjQy/FGD3bAvgdrxAmA/PgLla
dZKxKZ6aWdtPoW/Lh47l0XU19zUP5dwRqFia0WmwJH0nClN8njJXwcm2MlgCuPhxvRgmxIIBafDA
TjcEWanhGhgnQQTmvVlq5e2yLEjyDf6MBpJDZFFTaDb2Jd6TeAyvY5/SZevFM9JLtLzYzzvOTX0t
BqaOF1z71Ag24uqcmIcMUmecoqZZKR+N/zpJC3RreqwutjKSbmsyXLwQ1GB6hyruQEpCzfCQout0
utezXThMI21WAH0/5v2atIk02OjA4EoUus7eYKjMNPLkcFVLb8oLEGwvn82kS68zYlnpeXz3wZTp
cJjCcPocVlNwg/0f9y91RTsyUDWrL6itufbmtBjDvcAyiZFsxJ3qUqY8mnXm32aNKd5MdFTJVoml
LkfVy69GsjqhmseoslVeZz9xjKknGZHQvdNQQiUoAJi9axTdVKpM5O8pphs4i7JhWlv3bBCPjLxi
+CFM4jax5BU2Xm8OxVYpx7mD5FkdvKhJbrG1Ut0OVireFkYRu+nYxgWKdUUvDXx8pjXJsVBbAsV3
DJIznFEOM+JhWkcI2xwc3cEAftN4ic216OtFGW6Jl8b/qBSFyS5dY6LBwM20wd1pgLYIqhkHI6tV
SWhuFCyGYaMGELhNGcVo5B2Eih16qWyDyKDyCEoFIrky61b9ENY8Mo6aPfwHicmydQ2ZExqCLRu1
Y3UuWR45ZXhbDFx9yIczvcvGZbWAyRX08ERgOFWI3beXJVzmXSUUeUdZkOdYhhSTG5EjbwO168bs
wnmii/sgSOSm85VkRDXkBRAETG5t+ljPwWecyOMWSjrzOKYuQX027Sbg40iiwOTr9GB2ZvpY2trc
U5LMWz9x50sUdMQRQ/vaNaMdNusk076+mgKa1VuG+dVjqx380p2DlWnQah04fZ2eXDTF90uAChqp
adinodXNx6Llk8LozLsylUyYWyAX07yAEyPjI5mo/kZLOF/sAUv4GrwukR4gHLJpoe4A1GkmcpGw
ZE9L/vQAMQl/AghS0vyKFBRIaBDPqlW5tGe6qTdoKlgO6Skv5+uEjo0gFR4ZhXekFuZGk0fBoDkI
ekaVIpjVfO1EapqvDEQsj3h9mT40Tu+pnRrdSRPLGtsKpGc/cczT8MfSWEVETe+kgfu6GrHUdJI4
azPboP5rsFQ7DjowZua+5/FuV//j1YgkVK2aLRVsfYPgsd9bxLLv/nu5/3/i8yDc/lvt1f9CWSj+
fLX/9g2/kzHFoquymbOjKhZ+III/bnYZfEJ5wc8W6Kpc++Mrf0iu/E+kKZAi4wu+GVodksE/JFfu
J3RTHmlJpMF7mCyt/+xm/+lil25gWpaPMph8PnTjwvtFnsveOjPqlvvaZXSyi8Hq39uyEDs3tebV
oLv8VjZOs8sqd/qaTdW4ifrxeTCRVYnuwY2ZaJjMmPNRzK+MGIz9PN4w7a6OwmnYvJo8KfUqnXu/
XhnQF5FftBHKGswt6MDjqoUb9ptC8F8Kjhcx5d+Fi8sbQlVm+vzGTUIwsQ3y9T8pyGbI49gnVX2c
k64DXJwlET6/KkGbosQQyJWIcun8BfHzH1/UMQX5cpakhqPcXr7+pxdtwzByierreNFovqDDxpzY
f0W9dkrYXFIW/q1wvPntvfxZUr3ItX9+h7wYOlLeID8JzOXPL8ahZpf4MfujJtp5S6P9jnZ5V8Dy
/Yt39bM+dvlVUm9SCcBf5TPqeL8UfTaurBpPQUnWa2H3165VhwOONstTf6GQFR/Rwj+/JzPg826R
3Oi7fOJ/kahXsa9NXFDOIYxnakt8jrG1RajipHuzUpRAsprzG5mEMcvdwJHleog4SFdhn5IyHvf+
0K1aqqcW1kJvMbEx2b46haeqw2ioMNmTemQcZNAOW9uy3CVt1NH4Kvzk5Hq5YsSi0FtB9CMcgt1v
6gFpBkRu3wadxbrHngRMMKO8jHaQHLsoHK+U7d5Lt+7WPMfTnqV9u6kqu79KO8QCuHZSqqstsMIT
Xpi1Xyu1mVs9wzZi82734NrmVlY7fyLOzM3UQutDi1I1wRW6IOszkLZoT2ELWiFJzpONtiI1cETM
GLV2lee81/R7kGK7t7LI5D6rSQbpO29e0Y1PxxSNye0cBPqUJWb8HjRMupcu/FRa/as/GvJg+ma7
g1FK1jHCmCuZiO8E01mf+2Z8nxXFqTlOrLJT47PAVlul8zfyA45G5KAyC5/Gxjn3TX5x/XTTT+qE
1WyfEA0Xr/zGeHMrIinJ2XrH/7Lv0CVhn5wOKke5bmvnIQoQc1UJUxc2j5hWI5yZmIiecmRECA79
Z4RflxQA9kr6G93pdp1QB27RQhFWoozhbGnGCXZjnYoCmPuUuPvRgF9BwupN1tbLNGZcCAlRgfWt
dr9NmhRnWl3zdnaEfT2pxbOCc+SFzIZiWlViiN7sEC9jnI78BIW6DWaa+9a2HGe5auR1UUSA2kYx
oZjqqbHdxGlWVTfO56wu9KWNs2sGdExbWo2ZfYlFspaApGKJSsIZ1r/XS46SQaCS1QSnTPVLlBZb
idVstORILFFM2MVusopwJi3mOxlXtxmpTUak/ZsZ+v/RG/LknDSg8JBUhfYNipxmgzjlLfcAQkoj
fykcNVwxjDoa9rIvGbA43fm+Yv/O+g2lv4QZILBGpbXelqMzr2GGTOc+868tw/XueqIyrYvvh2Rc
QXEi76qcDLKvCjcr1K7/CMYych0ZWzxSomEhwZuFaI4yboUJPsAkrJIi37ofgVtZkgreMH4mJlok
bK3YQ3QsoRIHlkAuZpbGamDmtmKlgfeu8yVhXwhowSD4VhX6G0bBWm2j1FoiwowyRs0YsWG/GC77
fHZ0AZFiRAEx5U8zN6mfjCxtk4TnWfaMK0nSYfZkVnJtD7IcPnsM0aaDZNY0nbHp53oHiAMoJhyG
Vt4XduNVx8zLjepHnSVzwOumpGibXZwH68hmX0mIQ1i62FECGW2nIKoA6wyw6faxIyZ7VXmNFtve
NmmhwsKQ3XtlD3Gxrrgshg2BaxWNL+PhFwgC01NJZOAp6NPwpo1aAmUoYAkNEhNJIgc8lGyD7QHf
6VqkI1Nsr8ojb+NnOb8sH4tKO7hbrKbRF6gcPCG95FFI4ONnaDHuuzTqv+tw4Yoxn9Ige9PEym5E
lRbpDqw967qiJ9zvc5yV/PXdqY730TDa/ZZamE7SFHJ2Nsgna5ztKvato2jaPn9rgF4ku8DPsCLb
hYQE6Q4WF36AKIFwn/guKNkukrjAC6oa4qlVsPwv6xg86RQyfVw1pLqQCXYShm2/ZEQ4MEV3+1dN
7reL+ndsrhSB78Tuyjk9Fks1IT1j7X3UFxQaKUvHmMJDlnT3XdlMX6UHNWjO4vzWWSoVlUQkfC/V
C30gGbVDJ79GNsSNldO78wv6x3ctFDEBpiofQ6Pd4CPGgc0oG9tsfyb1YQS0iJHNY/E66qG49KDF
nH1ghPxGh6kt1iIC7bjKKcqvCf6xtkgHANJEuu5tpGlZq7fsQ3N95tR+HIDx+Cgpmv4+LfzcuYMb
OjDn9X25YTMpzp1dkqowtb053nnwx+ZD7jbE2Jpg8O8JsYjfDZEj+NEJ7piNbN3koUW8NLxEDCFa
HK6jPy8ucriVpOqsSHWcDpkev40Qqihx+CwTLrPsxu2onndW2KXrduyGG8yNybVrlNF6YMV1JR11
O2XQeUPktreSXKRdl8/lF2M2/YsR5ONXBpr1bW2QebUagLY8dHM+3ZJpUuQ3AyKIbyX1wwEOoj6G
DCYMVLqyeBVhYt0SAwSMy+6D67Fn3bxCBCi/RbZUIFUySKfgHxKxah0VZksOkfwh87m51JPSP8J4
afeSoPKxwxqNz5Qd6cLadkQcb32cYvkPoJH03qkRm5+zAccMGw3xVGjieRE32f4uwIWSX6wSlbJR
opda2G8PFQiCaN1luvxu+7L6MfiGfgYZouoNcqIAGzjuzpXFyD1ZJePcXBsVEUKkXBnFVZ7V7gMx
JU1BGOUoswMqFhdwbmIM6TYwY/kM1BOBMhEH4z6tw8o+CStz3yujHW5RzcsHsyrzC8OVxDq3yOa/
5K3lvcyKGwQhO4ekX0zRsxgM89Yerahc5VM+XlWTM2ykTR8d6gCZTeRZ55iu/TiAbaYaA0G38ZQ2
Dc6Iqs12skWAtZ6NyWVxHcwd2U2W8RlTE0hJJDaNWurfub0qjARR5xwVpeaUbHIUTCaIAGXOU76N
c6Koun5U4O4cp/Nu23TIn4nF5ENXwegc0A8MobOxw8BHR4Lsdj7KUPXh0UiwYB5Ml6AqPphSlLeD
ZxsooUQY27fIpdiFgYHpB7ggDlLozsEsuiFzmAtAsztl0mBkGhuftDLcr23gRZekxEVJhLAebi3y
DaOTW8+eecFaMBdbk9RMkk676i6gU/aZL5H+fBeySqofoXthi/fKdYpufUVIgbktMx75IAbzpS0x
XGW+BQy/b4IHJKfiNqVyidZoTwNoQE1yMNzZOQSeJIDWTmxCN/A+OHNeHKRPTvjgsmwLpqHCFpF2
84WNC9wJEiyMc8K0gR0sdDWQON2AY0ECUFrRvlM+OObnbiKuJGnDO5MHft0SC7vtBQuTLl9wphY7
VwLJoi9pB+Qn65CZMfJhCQDaNY4AXXE7EC41HucJDsKlrdABsbF30+CAN1byZ6171DkAHN3+xiZu
81p2vnOVG7HzxdU92H0QEzpcV4KtGTs+ISD84H44Ej7nfJmsASZDNU0Q9IJJqfvRSXV9tLCgnWJ7
jt655jgsyY7xRjrE2IkOeWLC36ALfq2tIjgj7ctvZre6aXxr3GNqsFZ5wAKrLWfvQtK43JSKSKoZ
wFRpg0MSMF1XSRkyj/XmVy6M9D7y7fy9VjUEPMKf4MM5Rna0+jbE6uj6zXsUERJUwYQBlwFGCYgZ
F1SNc4Ac3wT1xNZkzLlrHJ/YoMThItjrkbL9yov7YN9V2g4WafB8nbmgiJt+qt7qbnpjqQZatLcS
CCCVaXvNTjl5EG6Ia0n/0hj7D13czx3PLy0j1IPSrFjxHV24BT162649lYijHv59s/iPPZxJ6MPi
4rOF79u/9vfDXJRVGDIDJUNMl6TDRSnTroaB8b9/naWt/rmBW/6+Fv2iyVyC1vHnptQKDLuHS65I
YCvVa7rc8KKf6QgiNBTxejSy5DsCcyByLrxQ+Revbv2TBhyTKfX74jI1Pf+Xrj/KCLZAXpYfSYMi
oVtxmIdqjCMibgIHELbt2N0+mDEpcNjo7joDweveSMtDFcply8SPe7e2wAT1rQrnw/hxM7cft/S/
/0X9wx+EYBBmE2Q4WPTV3hKU8udRAYyRqG+R4B6zODb9Yy1VfzMuCte/yFX4J6/DxtHzPDY3vMyy
nfrz64gm7pooUijNQ8qwTevDxt1EoGtOH+/nvxu/v9r4mfwdfZfP+d9mN/9gytx8z+Pkz4NB62/f
9Pe1nxOwWCP6HLcj//vHcNAXn0BUOQF56IEN1XQxav4xHJSfJLkm+JWtjyDWxar5x3BQfnIZ/zIa
Eo6FH410lf8gcDX4edLEm6OwsHF9WsKBG8AI8+fPUFLiduSf1+wJGJwnPJVN/4BkRT/HQz9cO6N+
UEZr3JUO7GDA5nHN0R8QTFpbCH88neZfCyB5r21TJccwC9S2zImzg+8LqdftewRMiXc7CmpgfnyM
AkvXNxFt5HcEEN80dfKGfYmxbSjINqLiQiHbPnwAQ15RXVjdk1O5xWslub4MewKPE2bZzVR5d1mF
sjm3HFKjHaEfnVSYWzxyIQTnQC3hBNV9VQXPaPGgMWtYffhdxq0wDL03S+62Ee3oputqms+puWed
GW/jJVrAqfvgruYs2yhUKffuEufZRVBYIk3+o2x775CEWYPWL9BP9kQCaGeH+Y8grMvLAJXkmxQF
Ao2p678puFsPqbILFhihGFZsXYONOzg+Xjrsgxbdemi9IAWY1sIFQ2c2kqAS8riAf8+KBpTSYHxx
PnJLc1zuCfjtwfxasS1m4VGzVZAR8jj6Re/K64cULwLy2kdGBR1ahyUK1ZFzPQB1q9DE/fdI+P/s
CX57uh0G/P/6SLj6HsUIAaafpQAfx8Lyjb/vDFjss2t3WLlbtsPGna/85tJmZ8ClJPBIM6///St/
HAssGnBhA1zw2WYvcoC/HwveJzb3rBMwirFxWBzc/8GxYDu/uLTRIuASdzwuMWKTGNj+cocpEEbS
Izx8QR/i7bObTIzonGYeHQsrGfNorhnixMf66DlC3cPPYXAiNAF9uyigxmyWarP8rfD8rQj9KEi9
j+K0WOrUYKlYQ63N68IwvP7G8QDkrv2P8tb9KHW7j7IXxTklsLlUw9NSF3sfJTK2gwg2EchfMFGs
tJWyjIdgqaul8tVz7WLIKlMZbBFwZ8jY5Z05t8lmoDSflho9ABpYrrKlckfxtRTxHwU9b5aKgg4P
vByJgmAYuzrfsCHl7FK5ZGBLb4Bosbhuln4hXDqHyKOHmJKJIA63CTD+TXhri3wSt5TOwYOsAjoQ
mp2rWtJ24GccVoRJmsD9inqFqKBc2+Tl2LR79eNAf0Jz89HogDS6o+qi+UF7jZS3sqHZXuyPBkkv
vVIz5LRNEUaz6NKw0td7EsXgA48fbRZqeXjgnRViOYmMpRXDzkNbFllLi5YPgWHdzoA9puv2o40j
EZyWbjbxax+yFFDmMa6lNR+V2Yv0FA40p5uKUdbAVl14884ZYkzFObO1W1m0vb2zZoQvjHpslxmS
sgHZOzM6zV2IWnPv94ypzaqOgJXUADnKVlmPHh1vu4lM3AcEB/4IgvGsDN3c2KW0aSMIHV45pnEw
Rjk8o8IjNtgMb/TIzlo0GsFjPxbBlcOYspjY7jMiMXf0WAURLCEci8YzNdPpsnt3isE/VLYRgwse
sGZt8soEuC9q+eD5KQ7Uya/EtMHxJ+9zy5hwPCfz2iV4eZN0fX7fZxNuSQyxK/xl8R4FanVCx1Ew
X4IZbibypNop2OLVnR/CMrF2Q1N5JyEWsXRq7BenzXVETgUowu5+crFlxpboro3ICnc601GxgvcB
bjMHO0rPE/vFqin478SD6vziIU/Z8LPazVTkxaXF7o4VMl0GRm6kzpXpWDh77Ara9hQk6XGKMo3y
P1SbAiXDKq8jIgwGnV1Doxy+9vxtuSYrluqMPscJhhl9EjE3+LBxh8Xlqij8xzFJittmIiyOO37b
BOb8iI03eafV11s0jPV9oaJu78cq5feeTnuBmvSrj67ymBuzukIV+J2tTg1wdrKLrRzD/kBkT7rD
9mdkiA21uNfVhE3MijP/pZ56CxELorUjykFjN44jviAb1xHjRIWVCsGD2aAvnqHaM+fCD1HgNt3l
Y4pUpY3yQx4YJ4TdAm9DMV6xBVXPodkxZ+ii/IaFWnPq6rQ8NVMcXEdOE766egj731Kq/lsp/0Wl
zN57uSH+9Z34pe9f23+GLvn9O3+7FKX7CSYGAjQS6cAK2Qtm53d0if+JLo7WD8jOR6nMRvT3S9Ex
P7ncl4CHYCjZSx/090vR+QR8fen/gsDl+BL/Ua38y5XoLncrkwfoJSY1M63wz6UyDpIALKE37BHe
B/eaJ/66rFJBHEeQtN+YxEHyMXE2/kXymUWxx0/+e+fNtpQCnQhPmkmoLcRs/vLKVMlMcTxyZIQL
ijdpHa9+LWyNmjwZLBdoe21lMWplrZ7zOq1JbAE+iDCUsbRag8U2xd7Ma6CaXevkX8MmRLc2wUxe
cWtH/Vq24AnNDhz8OivCTh00LmRmJtyokM10j9mkruT0zdENs3ZMrHvkKf7Xwi3G16myg0fC6Yt4
i/57uP0/9s5kN3Kk7c5XxA9kcN7mPCo1D7UhpFIpSAbn4Hz1fij/BmwDBuy9e1HoQreqpMxkxDuc
8xyuFr/aKBKWMO9mDFmJrYIJ21uiey8IaNzRITHtzPOzQ+LEfpC7aZi9tZ6LrxSVDtHFpEeUVrnR
JGnAR7YuuhlS+CnKfwtnr97bkZFeuDjR2seQn0p4gF70QvRyAj1aGuVxCgQg12j655eu2lPZ76I+
FccWoz7zx/g+iDt/R8L8vILsxQrLKl4564jdqpbaBntoHxhghkPxOOU11UaaFesMxse4Cm3nRsTb
JgDXyaTaJGxj6PjCpnZ3RQVl2YD9QBJCs0ziGZQZULtk6JxNV2/YNLGBtps9yJbd0FCW1wuErLbD
vec1es1iN+N/gq8tIj3cQEeR3dtBvZkjhEpRplnRlV2+KVlrwp4wmeNKiKqkDvtbRRTiRnPC7luX
o17Aat+xwHSPDmQfgI+i3lpN1504DxceWyzWM864defCe1BRygVdyfwU58rbh27GBmWekv2MHn/b
40kHaQIfkwwHw/lexieHjjph4xuecTenPaAO9AOPpPVqtSmczNlI3SW0JgsEc5Wmpp2uXQj+cuME
KFQ2KvBwcgy2oz+xDqlyXc027zv0W3CGnRNcMZxaX0Uv8m98Dam/DlTFwkbEVEVQgy/IBhjGDo2Z
3KWCAMZ2qs/SdIwTqPHqBEmnfMsJz+K1ThvE0ybUlHnbuKRbrgFRGt6KWALPW7NLKu9zgAa4DyKy
wVfYJYuNyEmid7SaYa1adnbJdG7tR6vK8r0yYvaICx0C9bljbmqvmMUWr1nLzel7wdVs7Jgg5Xrq
HwQ6r50j40meIM9C/cCt43/oNuByjwT60dq3y5hsISN6nPBKHeEdjGwDa5lfZh6oI/i+qKLWCeTB
CTPnuWzYJoAACAi4J+4KP4U9OVxtxD9lNzsv+1dW56g9oXwNTxTqwj4zhGJdxQpN1ifMJta/sgaS
7dm59apQx3b7NrecH7KXonDn2AK3jY3R2hRE1brGY+C1w84La9bf6NKgoLiigdlbE2+1sjGePnci
gTaS1Ma5qUxrV/EP1lWZ+I8dasWB7y/Xu2w2bpEzfXtSfek8vlh9uq9Mw9mBprZXeS+yQx+H9s2j
IGI7012SllCbYPLUJWwTtZotEliEWZErB0rukFb1XYEJ7R7yynesqGyakqVd1GbyYKZ+dS3wLuwI
VQrRXOTVToIPuo8jo0U8oINzN49iC+Kj/Jq9pt9NueHdIQyWCcVjNFwircafPEfls0oGkZxDUnJi
PsCBQMdRsAJYNZNrffnpkJzwdmbn0Pdvo09SzcrVSE02lkUAwr+amiZLVhDanXVQEDSjR+O9zeW2
aLVeFyjAX1Q8oR8p+u4htC2zXsVJFGxaN+lP6Aj/VXbN+aFLx9nF0Ek3oZj8a4+gFwzRbK9CPDDb
IZfJsWzj/N4wLVSVrt3Za7McokeyopT93BODh0ZzUu1Rybr/2xp5d6eZtqgtoQLlakza6RYQrbie
2hL4e2qPeIhcxMucFvIrINBvYxQurvpgQVa4PqmtUGzwWgrxQlhTfHZ5H0npwQROMhZA60Hd9ZGD
iUtGyEBIpQFde2qz2L9W5Oyd6Bd+uJ2IBy0BdWVNLdOVxydFH1NbjesqAqS0beYZ5F2ipcXedqqb
74R4KYjmqJEvvldo+I9R2sI+aQyK+8Dt5XWM+8eEcvetTRq1zXw7+GfGVodixB5rEBFBsnfrPugP
VQWqc9v3fQA1UeWvhICxbxqtBllGBOmr95x7PdbR15SRWviEr41jdhluwyRpbROXVUOw3KaiOsAd
Z0mYHlVDElwy2+u0M7+q2C13bq6JIBIWlnuy4MemeDewmaJdGrUYNwrQE2qXnrHePsk7sqHR+wYW
MhdoQIMSwEIiivo7X/vDuJ28RtCj0QtNQfEQ2fjJ4i5pNrrKjfusdaK7kUaJPxRlcOCgZKC3tQqH
TKNa4hWSx5xomO0AAhZvHzeT29B0IpTjR4ivYW9+1/74d+J8Pw7ap1QwxXREGBGvjbFmDWZE8Kgk
nkF2Sxfa1nE7d427D3pZrCOo0HhLJW9yPDrn1JWv0qYNqtuBD0A0cDxLgieG1sHYnRtz/IhiddqS
77FjJbVNiIvfISkSl3hMig0WaGuhjSTfIztPSKF9e800pM3EsNBdjKPCvVqLldRRs6+WVSLv0LCl
FrTXGuzqph/nlyjreSHzstrmxL+sMsBo1zLo8fzr6mVwYyYDJdDHlu3FUmr4CFqadl96gbXnBArO
0iVIK1CEneBwYK5ZON6Bhouc4jS818bE45sL54bdeWsOmcZF3fQjsUDIHLaYquQemBjdrt3YPPCJ
454pF/RHEixvaswEf9cRD3LvJRVREFarg21ZRMMHIsfs0SeY7QwsWP2wh0fbw5VzRME8vKVVBmRR
jCUieNck1cdhn7SRvhn9mFgGDp6LE58wWYEQLTWjvdEHLiz5xIrvgWNxcyoELCdPOuOexDL7M7Sa
+tKbYrzlYatQxlVFCICtwwMpwxypQt+n+UmKLnmSoeWe0RNZz4Ahon8ZyvceNl6Q74NGJoqDyYqO
aWu6J/zthbmexxRJjW0kJx4VjSefDEh6VwAZ+yVc4tXGtb5i/NwDUJpG8pcEvg0iAwg7zbzQL3kT
ivxeQXV/Zg2eHpJYEyI4pvO+MKf+3XFBXXSYwIzVTPlwB+BH74RmcHJqSVwMsVDY87NKp+kf1PCc
xzRQ6hHOSf8YgjlBI5PAcqO07dYI8v0dfEv9GkyleRehhj3FwJr307Ih5/LzB7IIcGO9J07twOI3
s7M7GuNzP+TOoS+S/gEvd0s16UX3GIyDa4Zg9NwWgf+OeIpBk6zLd9uJjrpE24Ep864JoCGIQBp4
EMHpeXzOnJzKPTY1c3LTWnliTgj2stne+01Dyy8oeBhAjGu/prNYdXox2mX0DWiA3Ci/YyUf70HC
1siIlt1+PrWPHiCCo1/xHRRBYb3YXo9JtWxa+zmKBg/DJCmX1j1XBPdbJ/1+4gCzPEBRAcDdTOtN
COVq59kF3FzPqe865aRrPws/06RCCIPthXOG7GHRp96uritmOW2SbeF1t8lazhlU/m6cCkIehuZY
1b3+4KGdH41QU226Y7FXDX8JOG6xhKGorZuXEpOELe+JahF3gzb78bO0xVg/TGNSZ0+GN0h/04IU
JyWL0UsIKxBM4ZIaOkYQ13uivvyuJdveC3pj71Zl+pg7g3weKyv5mQ2AvyE8YsKpBkfuu8bUD0wi
rI+uDJ1n9D+gcqZGhO8d9L8Z62SC44Cx5Pc4MOwy0Mp+1o5gxIRlNeHtqEh+NilQ/zU2Gic5lOj4
AZ3Uj1NjcVbMteCApvDmVHPbWu7rESPwihCg7s3j7f5Uke+8uJ7pNc8BVp8WBw0USoLkBlFsLc2c
UuaABHqSDiCtuhIsSogmsVmxWp+SY2XxIdx00ohS6nbdkFg4eezcFU+vMxFKA6erl2fQYSFOI7uu
7mRDdtRmIJfhWhuVT8JL5Qu0kH0lSaztbJiuQ4wMMqxeEZp2n4KWaF07Vf3YuEBXjH4jgVxuKh0E
53ZCFSr5HLLk98xP8NvDH1mE6dEDofeazr3xjozYDYgTmpwPL5nGU98O0w4tdnkTaDIfJEhSsi7l
GB2cZZ7EZO9IRR2jtnWGQ40P6tDxEn7CR+jhxhjePamEzS43/L3Vlv4tAQPHuFkQq9536WPhGM4V
80WHcTZE0rWuGZDiP63JAfWzKTqXDaAzh+nwVUJJ6SRiqz4fH7oK+O8KezWqUNbFmFvQi/90Aci6
GHjTjg07Cq1BxK9NEHZvOJKIDTCK9i0lt3YDAMW+Fp0qT0nm5HCrnB/pxITKLTujmnL2PltUUIzO
qn9wBiEdyEEcCq2855n4w9MsTXNrze0AhIzFlTZUfKcjN70v58beTothdZtbVXsZI2dJppDV0ZN5
/NAvazK7Ajm2ArlW3ZMsn33Vk3Ae4rxod9OybNNB2dx6d1DH0q/BLI4J2beBmCgP0I1uR2bQ6wYg
9g5t6vwZE2m9ssbOhOVhUwO1KdbUuBTXvmeKgVcofE8IYf0TJZz5rqRO41rtHydZTn8SarG7ogV4
N+uovXa+Uk8tVR7Eosx0djM4hxNKleoaaT7yvea896uy+5MkWJsjgEufE5Q10jVCWmqr6P1r4NOs
oT3j6Uq4VTaI3gK2VtwpweD2DMzpsexI7eYqTq8FANTXLHD1ya2i9BXCKw1q7OV0ggTOBpigSKG2
rXsfF8Ep8vthY/Rd9jxOlQAtkxc/zjDiDkzMQjwH1JN3Zs6dh1cqsr8DRAYkgjakkZlS49YjXVUe
DD5o1haeGiu7tlXdWwf5BjCe4VRv7VjhgQrC0XpSgOSe/UboTyRrzFZ81dXFhnjf4l3rLPocWhMY
TCg5X8hNbjxkv7Z8nZtCeRdyzohOyDGNIdlWQfQp24H+yu0S+6v3Cu+1FPmMjsEvP8fBqlBlmf5b
ScDFmgzn8iKp1JLVwNnBNwS0RhVBtksgLjyyPbC2lte4B15JfWss3V/JqG4/uxzontXXyUqLINoC
X80OU2djdcbuedGY1FelTKr3xjeTnVS5gYZRueuUvIyV5a9bjviSQPey+CYjxRvvQkPG7gFGyLDE
mRPR3BEz+ErGGMJYYD3JT8++aRc25rSdyCIg/3weUDWWxTS9IekGLRYl7FL9BE80P7ykJnBgvtL4
ayffUQU0l8ns4w/E+daznxZ8gBJr5nswWJJMZaBHBkGyeHXy+kerBGYMqJbik3Tg6YdUcJKzXYNj
KDLmDd5BsiR6w9h7Y/KlJIMtq4To4E+fmLOnDWk4JpxIQmqGOAVY1YevHDLlkibwZEYDEbldYpxl
2ga8m+i/uzBzoeaWF9UR+hV3wWObaOcW2VF+MaUjDMIIYHGuxkgd3bbAk+oU3jFBfV/TSgD/mfOm
KzcZ7CCuqRwjTltvQgCpXFWaJw3CEBDL4JrIKYbhEYLsWEhEJC/KL0CCWMJVUeZ8PcwiLzbda08H
RaaC3T6mk38PCtbaczcPjyRoAkFpLfBHneEOpKWGDrZUu7m5QJKWmdAHrD3ASVB2LfwtRpHeqOzI
hsCmkl5jlpJMu7QbS/R1joTjSeMJAWB2mL/N7QZaU/ZqZn7mrcKh8R4oDTJQO7GKoP8kC3nH14fW
YdeVZnaysTV4uCCaeC6zKMS1S6r9riU6FjxJVzZnp2GWuHY6Eb3VEgehbiqYjwueKoXnryFU/LoT
e/fBTrr6CjEzW5d1Hd3HyCau5i/xKkJgeu7YpwKIg4clkkmfq9aszgkMv0fPyqpdMXhM8gTMwXdI
VO2N4ZoGOGZrSppgAW/VPQFxq9mpAH06099wrudNu6C6QAqb38YsSdCL5ujJ42RaeT6uEa6jWZDI
F6idTDu5w7Yy30LN9C0W/oIxTPPgOi4IsdkguG4FaYP/xIru4JXD/Dn2C5iRjKAXz605BcdS14sy
tkFMX3Lr81DrGz2BePVg7BHZZfbUXKDPbBBoJL2gGYUzR7uHwQJi00uAIHyVLuw0a8rBqAHtGrfp
mI0PfiSydT0FxrFdyGvGwmADdFb/wU4MZmEhtGn0BxzG+kC7DkU/r2+9Wba7RgVMFeeRi5Tfuoiy
gvwCd2rY2RnX6ab4JcJNCxzOsWOe8bJn3OAFU7TvVN1YXDyiv7NIu3z1vNl6DYYCj1k3pfGKyRUg
mN5Lk62fIdvAxJxUzzgBcnOXuHqcAJAsFDsjY5Z3hlomGMlWJVkPWBn4QMZKGm9AHwmMh63B7Jki
GhohaTGPSFBA55W+lzzF/oz5ma0Rw96ZnfqwAdbU/aR+Pu/nDiCfErP3GPxS+nxUe/U2RbKS7dxf
wF9a47BdZdBYujVafftRByzl1kOYkHCsgrB66xw7/ULpCz0wDAbTOY66gWM5M+p/xhlbvNd2NOyN
tKhvI+gJCcym1g/9L4ZQLETCamAQBySFTbNqP1wLZmEUIMLBYRX+MUqYxxWGAqSPvo1/WOSvqU5x
4hXQY3adF4vtVFjIVqf2yKswb7VZjXdeghFjSYEvn9q2hz0STfMz40v3FNTCv7cnmE6bdAgID+pm
sjfahb3I1ABJjywEqDGzYXVgjKPhbAx/aA7MkKGlNLIc35Frc0EwQp2ube742y5+SCofU5QsvPBZ
tVFxkQ2pccpr1EYsVMhIcBMcNNcMgCaAGl+QAwBJxhCKNRLivCf+qjDYLle2Pa4qzLjhBrMdIJnW
ZlK7YVeO2cS2ISxyjYj7zAnbB3sS8xuD8+HB8Doi7UPwlknh6H2rK/vFVmq8ofFxtklgEP5aLkhM
jcXmxnYfCHM5gBhqKxV/JKOXnVvD6u8bQ8DKzeF4Q7oKQEPzFmT8GiPjuJsSqqx16xv9OyFi8Jo9
iusdPidcbXEy3kbkE2jkHcWWX/FCPJRpMxtrWYkFkINsb53gOXySEYNeqFIgpdPEFxCGoYoSGYTF
DZ+au/bCmEZqBD9815SWfqxlaT6KwS5uk+GCKZ2ipP6Yydq+834Rpn0deFdTGyZjnEKnxSFpa+vF
i0OBxyiERZoTJLRIGph/wpTJ/VMKyPRvoiB145tgVkbwJL1nb9YDAVlzXGy8yaaNm5s+e+PT1vfr
gtQ9avpCjzdt2tHfwWiXA46HyLX4n3wMnEfbauerKQr/FC8oV1kDdeVs5wLSofmtna6JN2HJzTdU
BgTKBQc7siE+jQQ2XhAy98d5wcbqzkn23i9LdgiWFMi6Hcd/XhrlmybrNvQQGfmmpCgeCmcGK8u5
vSEbK3tyxt49GaKwVySGdt8F5LSKKK2JlM/MLA6p44/UaDKvP60KN9BWdn75SIvE9Lsq9AvJc8FD
QHX2d658/2kWDb8QT7jTsq/fZQuhv/mF6waJr41Tq4AzdryGT8XC4OUGygMynIfwGQq8DWQwb0Sy
LXV830F4wNCgXLYHnC1ImjvHOYdm297ntp+dK8iIz1ZUYt8HbXjvjVgyV+aUd39mxmrLhdyLa9Bp
vYtINLTxOQ3Zo4qxx6/jMBXVUxSV88OoWLHFFDdoZBPvgeVWccxMK37Uwq1AbY3uuu9rWg2nbMA5
WzGUoyG64ezxTnyZvPF0G1/jgjTmt+9x1KstqUnjJy1zcNct+ONpzL/B1m5y1UlSEBZDVhpOCIMn
4OiDTQwm2bZrcNxPU6LFVhH1xM3I6PLYauKDV/YwJttUmN6zPfBzIXTl4ZkgMjsZz/WqMTTwa9pX
NjSQkjEf5NGxpWz/48elR4CgCavWscfm0aGgpxPIXHiVQcct1y9c6KR3QUTj59IfZLw3QDVITv9F
SVd4KW/YLPzrgO7wYWScQSTwgp9WVgSKGju/PJGg6APWlAdO1egeGDJ4ZDILt6rpxE9VREB4tbkk
p1mlNpI1Y3fCfBWw8nztUiIgZvGLN1tyZcV5SMkSM+FUlhhIUmPbUq46q3pln9oec17fbVy3eFnj
JtiYvmlvg8kMSnCSsHYLiHIsrVqo3J4d6Su7w26L9if46ReE92CojFmwFXyYUF6J7kapZKyV2Yen
LnIpZP2UvZU9d3QwwoqHsxaaUc5CCg/Y5jDurdzPyoVkAn2pNY4RWOeVw4wkWRGtOF9bmEViHfp1
BWtVx09uwc4H2A1hGSB7v0uA+V8JZeszTjFoxp4al/OfJI6LB3SsJB4Q6nmt2F+CHqPpYURKaTLn
9HirPuUw7rsAVWQOE5OLRrXxFT+E+ZXZC2x9qCIy+ZqJi2taQOzRQvXjhyJwgzt4XMcVgUeT20pu
rgXr3mgXzyupiAW29Cib3upACfY2EOGFqLjziZSEbuWZJfaISBjRhkTc+Qqdg9ObRCV1wkSvTxIP
BsGBavL/hmYKkcMz2fit1FhyW4lfbL0VTu5dlScxJInWVi0f8wVynxceDhTP6+z6Eo4jf41a8PgR
ajYAHgs5P+sb9iiiUOexJzIZ+pVhHBmy5+D6mkWFyprKylZRl4gXdrZ2thpYiCKcWjj99ULsr9ig
PnB5Ubv8Av0j8PH6CIDSUhtfzOM782axbZD6PMulu8pxTe46ckAAw7If3A6/qIkkM6/4F8W3csrl
EstCPDuqgexrdXjZXFQE65Dh8HnOTetE3MV4B4QCpCZhjRsoxiURJI3YQjuyeLJ6sTXS4QGU9b0d
64HuWr/j7GxOU1Rkx8AojG0LfX0zTHX/z6rc9NpRTtwRlM75hc9l4/smMWl9JQCu8G9z6rb43jpt
vptGTciXjNUVE57YlmjJFgptDxrIdtv3uKvmh4bQgEupsBCD1ic1SUT5MbN88y+GG38rq6C55B2R
aNFcp826SoZk02XD/FcTPn2QcBqOkC+HA/U6Y+KyI5b8/0tm/28ks3Yo0Kv8n6VBTLo/m/9ZQf/f
v+C/FEHBf2xOOGz9gkWBEzh4HP5LJmv/ByPKgr0Stmu7v7r6/yGT9f9Dw4o8doENeOJ/kck6/+Er
yJS2TXMha5jh/4tMFtHt/6bMESbkLgucgLsYYsz/XZlT916mizC39xU4nmcibeYNCYHFafTJsOux
9+77Ov+IYbagOA+CjwRUwEWg9sYsyS/OviBL7BqXjnpL45j9KGTxqxUWfnQckS6ETGeamEV743lv
Yh5AlA8I7C+RihfPfVsXR8WUG1ZkP7+Ftlf+zKXfviGmwFzIWr+9eb4x3iMkQLmoQWM6damgEgXi
NDa9eOz0UJ8dXTDcsLRfAVhuUQpO/rixhGG/Mc4RDv2yTs8w/2zg0LAFn7H0z+YRO45xZu3OQtB1
0IGQPgm8gAyA6AX3X80iwHDPXggptk4qqKGpESisxMg7XgnSM18idxpCzFeSP9sGJbhGV0DHgXNR
fIeLiYX+Pi9PHIdyx9ZE3c0iBS2foi65mHnqO+uG8cgqJyGahZJnNw8GlCxSJ7tkegjxCu0wqxZX
aKh4KE3VxagYejfvbqTBdz/s6I1HMhIiRtokin9WFuDNVWxQ4TCXneo7ALoudggzQEjA6N7wQGz2
6kHP03T0Bpa93WQT9UwCEGDKQdm7isrxgsXLPaaWJecNIhF7l/sY9kTngnMf7Z+4zXxs4LGbGqsi
c5oDiGTcmmUI0Gg9tuYCoO9CYi7mIE/+aFiGx8kpyHNiYLHTvuU/kTqJdok94/fUZrjhU40/ucOy
+rdCM/Jhtb13WjKKzsiWywe6bfHCsKm5KiK0yQedTN/YsbpPje3Y9QUEUSeVxCekNICdhOBAaE14
a+qi2tYuGSlrF/fFibmqT+hROpxcwm0eZrfyzzawOOaKnfsnJxHumYupfXJMJx5Q2aYmsH2jq1ZM
eRGUpO4Y3sGLim+VR0vEXDRor24T2Be39sXRtDB2wActu2OnAZWReLyoxhpP5QcCAtKHRHZIXVRI
7E806KfcnKM/IVPTk6Ec58Nvcu+MdTg7SNEIXqbSCu8acqbNletjwFhVPd5/AmqXjGwVMppdeaXG
5Gr95mgHeraPGr88+wCPGzNh0PhI9u28C6aUXW9ibNyq/lNVeURGCFO2uu2N19qh7mhCNMBjZ+z8
LmKeODm3Vjms8Nxwx4KVZX7jvEUxiamd0LuyBCKLUChm0RcM31le/7XQEt3lXvNUkyweJizyIxsN
Q9i18Is14gNnuOUYxn3KmTXEMvb3wqNh9bqcCPclwRw3IGnmgxBIl2isQLw647RqS1QIozlB6XLS
zj01Xs3a08YZ6DAYZ8/X5hekWN6Wx7B/waNfXA1in1aNZZf7zGm77qH1oN2gVlvi2WfTYAwLypQ1
CrRJSiQSQ3o+rjL+qwrOxA2niSCNB6lVeFpyH+O93fHirHx4CyOcloFvki+i1Sl/c+NHe+iMy+C2
FBpD4KtvmBGAsqzU2AVe6vKxaMe9lbvO3uwdE8pHzUa8ARncD6a5z6VDZpWco+jF56Vdd20fsJ5z
8UVTqTQkbS9lq5nJelukbbcD/UcB6ybmU0Dn/SewIB1TvzX9OReiPNp+pO4jRuA7My2TH8qCiAGH
clkPzq05kQWlxm1iG8TxzsLngbf77qNyiHfFEcGumH1JAhIvYeYCmJgZvvbFFRKJx/gtTA4hOejv
pLFBnW6mZlNHCB5z0C3bzCn6JzOzGtbGHSVnjmNzI1Lf3+sOryivv75nrb8UW+TjfMmxyLYAkQ6z
dM+w86dLixbrvRFSn6UcGc4p46mretitRaAep6SWNw+u+E3Aqt0HRWHf18WlSug0SIC9p9lJNsK3
+xdIO/1OV0Mh1jCG6+OsKuPO1AUjUptP022Ag3vBZZz2a9WF1olO+yOCe/aBilu9MjErr7zM6iFX
s/OnxcGhNnVjjiTiZX10k3E3XeIexftKyFlv0q61EaW0IXrHgLlvPheEHVDnbp2wgyI704DMvctc
vJ/PDYqGhFRe3rp5UBlyMhprFkgCECXY6Te2LmzNqrG9EVUJhCfLZw9EzFyttZem37WKO4b37CEw
nLvJE9FyfMqWv9tno3vfFolAIgZUQVgVOMAhRsMeSY6+gBEWXPeMBUxmjS0qWbswLr6WTG6dJSl8
4LqvmpoIO8tj+6aGxzjULm4EBqZ7LBDqGM6T3EesMNdJFGVvRtHNL0xIxWVGYscIz6/FqXKimjgN
dlVHadrfoOnBzVuD+oLoXastuSHVy8gghc6X0qPYhHXjX8YqSK8i0BO+es5WN84/bV0kfIxJL08R
wjPc0vbCLYwkErshVH8GzlMS4GLTNrYTXpEHzD4WZKk6mZ8R7wqxjNq6Ewoi71XXqn8ZU+ubhUQ5
75MIDqYvM/tG5pT8x7pd7goPhudqWhizk8amw3Q2xFiX2eI1bYg38DlqPiO40xy6iAUgFisTsIqf
utULgs7sX2bjx+lsVJx5jFC0ylvrI04F/P6G6cytxYuzHTlER8LTtgAR09NMTsZ7GMkv2vgDj1bA
GC4kYF4QG9QbNOe19WSyTlohFxtOUx3dwSmpiX+o03XQDfOxSFn9P6mGh+TQkW1xHovUe+oLFUH+
75Zsv5B4yTil6HBnpb+AB95BZeCNmkRzFJXh7uuUy3QFJSXdoDSGt+uKgXUSn+luMrlaCQDfVdwp
L6BgMpwwTYn8z2ruM98ZX1Q1GxuWqswWssJbVzpztqiTjedg9NFqTwlkBhE8sFrJ75pBLn72JH2z
mGke+ybvtk1fVN8EDaj9oNgRA4UmF8Evwnf0nNNt4at+90jMdoOeBxCjnjc9NU5SHzow7rtK6APc
x/gSl2QHqz6u/4SFZqdkld6PPxsW8jv3BmA/OecG130Bd+kLdCSKx+RX/UibRTr21BvJOfvVR5Iq
Mv5EEfTF+Vc/OS5SSgRrHCSLvDKnu90Oi+SSdVu7H/IhufcWQab1K81sLTa5i1wT1g4cpoRwBity
gJzo8Ttf5J0JOs8usNuDtUg/p0UEGixyUH8RhtbwpJlvDBeKTnyUYeHcskVIGlUc6+UiLq1sVN9+
cpna+AtECJrl8OZLqXd52cIdcxaRavmrV60X6WqMhpUzkZQ2sQhb81+NK5lKRbIm/CGljFhksP4i
iLWnFmmsyQbqY6jmwCduU49736tC3vsyc34osspuz8TJYg+Z1PtxEd76vxrcOa+p/ZCJhd8MOyxr
x6ho/qOdfnhifehvHLSfy8D2qqzUfaSYnE5kLcC2MbVCAp+EVHOL8JcAIFbUpbSQQw6Naz9nypKH
XLeQvBeOwdCmZ+wB3h0nAlusRVLsSTjxq1zayXvFV1wg9E96TZ053zW/muRqkSdnVNZPZSOaC88r
+De0/4TZL3JmRfONs2gROTu/emdiCdE+R1S40LoUVLTRKrKnmczXelsNlfwoVJxf7F8dtbVIqtm9
FRulcPWCekpzsYoX+bUSrYvyP9doDfWvQpvF0JKjR9AVmYBRFb+ZKoakUlUtUO5F5C19Sgyn08eS
DJI7+Exetml1fhW95z8E0nTwvvl24rOnLvLvYJGSy6oLrl6o/I8OZegRVpUBIAUeBYlVDBTidVSA
ESDLKMCdS1oA2tOysmqUCgNM4KlhoEMmxbQdA/I4CEINdk7t7kMVZviVK1YZRhxa6ymNmj2n1mfP
kG6FnqYEQ+vEe3Zh+Rq5LXNxeS9q96deFPRRURrHMY00fgvjyDru4LjJHdOHcNV7FatcIE9P5iLA
L5iQ7KNFlK/MyF6j7t0bS4vh+xBKCIljUrErSmpDvpOT5xY/JkycTSKNg/DwdPFGoKD2uHISNl3L
pP0tbIaMxbZ8RhiPBiSTLyjD/BXt4LBr0vZGdw6NeAiu6GPYeuC+s5N23NGMfMFzuSg33RSJG6zn
MOFuMOUfFMQo8GnNkCWJTdv53mYeCCpTZdwefYbh23yw+hV4mBmmem5v7KJnCup0fJ89IRoA/8v1
kCH2ycTGzMZPNDQb3cWHFh7dBobZbUZjcj+gc9+y3p6vPHuM7+0IM/UQWqthmBqITljsT2mh5WOE
+m/vRBWTxLrv4P7/N/bObLlxY+vSr9IP0OkAkEgMER19QXAURVJzSXWDUJVUmIHEPDx9f/Q5/4ly
+bR9/oi+7BvbZVsiQQKZufde61s9KiE7YXqK4lFul6LNOJQKuLKTqUJAR8oMAyLSZxkIv/dqBEQA
c525x6VHgwhGa5O7u2y6zgmlPext4YYv/dXPwlwFawupSRQs6dXxMv1uflmuPpj8d0uME2n/Ba3Q
9N7JKDwCmh/VvkHbz4FGvQKW6iOo1sonTnShwLnByZc8ODqaig2I7mWvJ6THbBzGl4iIwMfOiDTC
TTJ3IMdleXvjui4StcFrG5a8QX+x7Y44M25Fo/Oe0KqQNIfvD6Ga9vZTXr8vGi1b7VxRZlMa+Kr1
NygIhk9r7mOL06nhnaNewg5cQsjOxJbmbzPdvYDkCkjLVRMOX3myCHBVGqBZUcS7wpmc3TSzVSto
Qwcr9qObFAL9vvPoEqy82PQ3ZMLpI+I9GgxFZIwvkcrytyr3MWM6XY/mCcnzs8fBxV5FDlkT12zB
7PD/u2//SfcNmRNK6L9swO369L15735uwf3rp/7JsLB/A2ELYMRR6Kq5Cfl9/+jCOd5vhLganFpN
y8bOfu3P/VcXzv7NNZGqMrKxvGt/jh/6L4aF8dsVSYvXz7ZgcYK4+O904a6Yk5/dcXjUXc83TIgr
VxS++wvCwreSwWmRHmw6QjQYYdGi+RKz/P0NbeWP/BlIGfB4bYx/CJIdsi7kLy/TcvBMR2bZG4eO
0tfBEN4WIHDEjLTLhl1UADL6qQ16948r+BkCa1499n+8MHyQiuO4cbUwQprnv/+EnPWLJWN/DZ2N
a04+RlrEyDHKnbhghuHKco1eLHnE7Z7uu9B76DEfilXNT30tZzwGRu2nN60TyxsTbeIGpAQcrzkf
T0W0LLfmlOnT37zfX22K10+Ir5xeqPKZULnXL+qn95tSEmIlpmGVhVXxMQ4EING14q8Mv/01rmMK
9ch1RtqI1UdDw+Cjn7zxZY5SvQPjipqSpfqZLMiO6ctS/fjrt2f9+T7h7V17xiZOUe5J7sef357r
ow5lNukAndX2KVlMnCeJquTabcf4OFP+QglBx3rMOzltDMHYr8MgveE9e3ucDu4Xa46KC6KLo2lq
VBXiforoG65CTnS0leohe5O24+1wwnDwr6zqWw8DdIc3XT/89bXYeFr/dGtw4MAKKxHP8/c/XouX
LKPR9VJtNPlIt0TxwAiYJitaUyDGN2OTQCMtpKE2omrHD2xeZEPmRYmCoyxAmEyOL+77aereHHuQ
AkFDeVtkQr1OHM7bVp3cJrHWoHMJcclFdClBjx66CjRfE6VvWpGamoTq1WcMd+4EVWyJn2hO8NnM
KDHhTDpn+CNM8EVImpMVk6xDzwWzO4JVZ8XphfHgTH6KlY/yxHwq/riy/haGPVIflVPTsUmRt61i
VqMj8/ZxXqUWOsx1hdXg9a8/y98f3F8eM4pSZTMOkKZkOvDHz1K7nAhUO6sNLOLiUhlZCYxgNG4h
9uxcaf5gqDVdeoQebVBMWBn3fZOPP5w6b74hl+5OdQRMcmUhoDmMVZ6vXcJrHJQrrhlwYtJ3VVy1
e3CV0XSMdDF/+P1o0qsJqyP0RZTTMotu9eJEBCdqVHJzZEy3Xtan2653jL+5cVhZ/3Tj8GRetwT8
0opH4ZeL9QhpJ13L2bRZPZwB6Pbh9aMlhZll/U7Mjr+tTYw3RN4xUqu96Ci1YmiKflvvzcX2nmlx
z59Uqcb3v/4e/s366l0X2et8xsEBfl1dflo98gguRq5GRX8I7rFsqh80jg52R5CdOw3/QFr9XxHi
/+Zj8Gx6G/QnpWeypP/xxSr2h5GENbWZ59Z9NSjar09xevnrS/o3C+IfXuWXpzQn085pJclMmUyS
T6NCWTv35TUMrivn7V+/1r9ZEciWYY9mR/WkfSVG/fzxcUumWlNhbErwaUcpiuUDu7RzazcSpdDU
suyWFBgQjkhlufPLsFn/9Rv4Nx8pKTU2aBrWf6Jyfv1IxUinPFZqk4PqfjHHmmZ4uLh/swtbv7rw
lWdycFDKYwln+uYCzfr5Oi2WXG/OU2czqOZBI9IMiCTdpRhzpuKpIpx3KmUAt+rjylHq41xciJgM
V+wn8LXlOK/9vqe7HtvMR+h77tyIgk1NSGI0RqGZFBedMC0zwKppm3MvqJalWRdj/YlU6m+s/b/e
H8rz1LV5d3X4X89V1+niT7f8Yi/Mf5A7bWq2HaxYyN6Bh8NJdirxN9/Onz42H3IQGx9FOHNReO9/
fKl4Qenp9sJHUulEN+FMJ8w1luEYNWW+lYyR9nzU/t+8KEfBX59qB1IfU1p1XVldxfHsj687UuNb
BXbmzZCPT4qqeyMjr9n54TS+yroqHGwI7QMZwYcmGuGHlKQlY1N4TyN8qYz5j5x96D2QHSRD567V
aBlY3K64MnykHRKPNkzeQqt9qwZslQYaV/qv7aotQrp1ME5XmCkPKhuIZXRb484n7SaoC6ah5E5H
K8GIAivAbGxxtKmTV4XQfLCbakvkW3fC8uqjEAEKVtz3KD4Z90WaB+gB0FbAon/IbA+zXNVfFucd
ZOlHaSztpVwKRX9QRa/QwfuLqFNrO6Yt/pGFzM+i9kjXJmseQicRQ/w5T99m2nBQg5MS9D0M3w8r
R+Vtxzb6GLIq7bcpsRDPG8WT1ugRvR3x9TTnIvM7ovlmgycMybSIiq/ESSQLSmrVbBVx3Jsy8TWF
nyoCHN7F2a7T7M6cHDJFrbTuNthN2XPRMn22MvNOcF/abQK3nDo9Ax7qm0OIfcpBTBeyS32l9zhu
krbE8pzOAfbER8rAao1IFIl42fd2Hix1PB9xwtv3AH5rOu00TiAdAW4llqhcdlYO/9956hmzzkTb
dLPl/5hH2gpj/0S1/plyunxJLIbUOF6Lje8NX4oYdEsxtduWUQ+a0dp8gS0l74esIUlt1lXB78oZ
HfuLD6Khvi/85YU8Ze80ZGiiOw0/IcY5laPLRURFX2u4NNPCiGnJ1R3To+KDdmh76RvPsFdhHP3w
BgiiTJjaPUg2fd/mnvla1jr/MiZyx7QD+TOBjN5dVRX6njocydNEg1UFhVWjJk2H+TmPFqSopHU+
a/RwQS2a+UnEod7pSmRn8pKjPSgt8ZBx0Dr3qImDFLzX2qwLl1d29DlkgrrJxolIC9r17yI0m0Pl
VOpMLU2yH9/enpyl7j7u82/N4M7f0usVjoYSO6r0O3wHu6V6MpAuENA1X+pwPoXCbXepkY6Hysyq
7yHy0ydAy3DoZI9Pmq7kmsGDSaZsjsC9q7v14mNbqKZI3bv1GJ+zulrWhp7NoEK09sMzWqITB3u+
KYg+v+AX/4xr9VaSKo9ugQDwEPV5Mn2huq/oQI9QlmZErrFkdNC3MTzhkYS8vom+IOz/AvevTxFF
mM23vDK7l8jLnH3h18XOl3O10SETKiqfFvZHo9ZQyZw9hId82wi4Y0rypkzDwf/RlOKEew0FGEjs
2yYrH1hhp31d1CN0WYnDl/SHneVeHf/Dp1TRMa+wo7QY58pVacgpSJG17iz8LI8DLLIN8d5imxHf
dsFMjP6xEt6j7Odvraeqh7wZnQsptHrFM0jMg0yGQ16ou0Ub8r6PC74TeoHlGj1Uf2OTH85D1cXb
2B9HdOOSxgo56W464OyUBBzg8ACXES7xcydRV2VSL0fDIO9SVXUbzCh9EWW1COCdGm68GafvENX7
2yFS4zlZwvxezdXItFMUGyJfunWcpztlJ291DI4hclKSx8h0ZV1lTjoArp9EkZ5pzjLLEZP1XY5p
vxo9wrxrPzbWCfCAO0sU8B5DSjtnKwv7hWxcxRoYYVaMUQWbbnYBewKcI5yPMOGZ7BCRkqVPgBpL
rlhn93iCTbIpEuvDWKb8QQ8pJ31vpImXtjC6V81SprjlnUtjOUgddbzs60k+wi0LMGJbq74PB3SD
/a5cdL/xGws8SH2MEZ3SDv1WJswOknKwkRA71q4RxmOVaTRg03Aq1RDejj1ylJVilvDaLYW51vVY
hkDWLXwScVi4TIhn4uj10hw7s4tQsEv4y1l07heSxzprNIN4lIsVuNWUrUTdoPhPfLzIqi1tIBl2
Qrs0RB3H+LwiZ+5IuOVwJyD+bzGZlYxdKn2jHGxKtlPfw63AhEkz9j2xmwp/kpHtzNBFFINSha6c
ndwmYSNfedfVpu0zhSQoyXf+5C272NExNm6R3tQe0GPXYeds6MzxXGh/PyR9H9AppxxEyb5mXFkc
tFQJSz9ZoFmTGaechuO2q1m806S5b8wfWUwfATnu3D55nVtiqI81sW75/ACzwzsy+52P7uKmRzrr
88bOu/BLufjzaw8qnQlCbj4Qz13vSmWzF8ZWurMbZLQM7ZZAo3AFg4YvWmN7PCQxcolURmy3MfNn
J4vXU4b7l85Oh86ir27HaFZHnCrqNpS92iA2Np4sBCP3edJJVJ2jd2v7EZhMP41OQ+HxT60/wFJJ
P3RRp09Ij4jFY9K15xbd1D0p6oWKtyUGbSK8m+vqAhUcclquOfdjepgPLQ5cKZob3V+UgVKjdcrL
mNPZjMC/dwFz4XAjkKaeZO1UD92SqA+V1MUroF1F9oX9Moe2WlcxuWIlwpCdGocGI9PSIf63/RIn
i1MgCq/h6kicfbYr5DoBLhi4aD8eMYPbBgfT3B+25GTHB1jWGqsbM9XcxKK22AU3ftg1Qq9B3tmH
NBqYZXrGF8/u3DuPn8dzLcQ9Ttz8tCT1BwoWsNhZQ3gY2o3yEcbe+Zq447agXrzmJsqW6E5lvrOe
5iGDXhSnh0HyOUduooJaYnOiHXVqI9KcozDgoBZum7AYNQ0CAPsYIP3LaPr9peva6JkSEzMSLgAT
FD9j4ZXbDs3Zln744jau+VAUnXGyulHfSCQKJ5Bu7UeLEKNYDXUcP40lb0YYtvqUk+F/9xJkc1kC
xcmK+Tkz9MSaoOkGbDiHvi02WQkzaZLzu+W37m0xtDMZarIqN43vlg+6dMtDXKfDZ47epAdpIvQR
7+8AClxLXMFmYj4j76oR6Wa+h12a/Xqg/VNhu8SZYJMjw1bZ1+GTrc2eLx9r0qqFtLKba0nYSBvW
jr7mBWLrba38pVL+hDtyyaN10zIxWGkcDuEm7WXMLLNK/TPGt2FrZWJcS4oh2IWhUG9RzRbk6jB/
wzrkwlsSglHJCOdkHGEZ+qAoefOwfwvOM6ncDFrULUALsVwm2EkcmZpWX/Qct6d0wPHuLN+I6PnS
wyvZxvFs3TRRCKKpX15JxeaBZu4YzHGGU4fYzg2+DTJpr9uNYbmoWfxmqa8tomldFk691rnX31qy
YSoa9vHWlWl4gwW7jFZNEU6HISb0hwFOWiAUZndNViZDmWLVzmV6FCRLv5QE5vThx2K7D95oPTXe
8G4SKkT2y1eVta+xZdv7IhKQBQfD27dGib/PKNzbfPCyDihjAuDKMMn+qSAInwtCEJE/kZxR5KI3
aUVZnJM8VZ581XSPos0yolc8dIm2tvpzVibADVpHKUyyhGoHvIX+rg5VdJ/702OIe2bPOKl8mxZj
AeeDKGpPa2n8HNKwe1wKt97NU8XMTWt3D8QzwinFtvfR9yTrQEkGmmiTIRSWUu94kj1sSE3F1DEd
94NhMvUklmrVmD02+CoqpyDybwjD0SRD0HBZQU2t1wiW9cEFkPTCXI9Nx/MGcoaSCDeGUy3UrAZk
HkJonOQHP1NucjIdCK6YBcZLjjGxDTECn0k2XsMCke5dkGwn8cam1bppLL+4JbBA4Ix1KnfLNNvd
pVhKWHLtSgZmYolt2freo5hcCgaXpuEzM8DqjYLdONKiqMCYWD4Pd+8TTAQL1A6XezMdcdAV5UdH
03E7yc545xnGXSbJNMp6b7kTg4HBnHgLjsFEjx8gjYqTEcswJeSryU55XIeXhsMHnI6M2aKZV7s+
9EhHkLZ5LCIPPbxxQxQZZKY+SvBN1fGjPYjqcVFSBHi55ntw/SS/Fr5zDzbQ+Bqr3H/oM8s6WS6G
ZH5l9P26FH4laip+7MeiVvzLjNlxit1Ep8J/dpeue3IzBrfrvku+s7DkZzJIpufRmJMUX1lWbU0c
+F/Huay5hjjbx8SS3uZdEp3NJarvh2aqblDlyANAze6cmEW1AtYRfUl0HyKgIKZDI4M5jmCHjgUH
ti+Fn0D1aDAI7zjzaFSVAzhpryBMtB5caCh0GZILncHhJbPpDJIpWdxU/tD6iBTH9h5Hkks7ZWnm
fcl57ejknfM5mrVVE4JRJveSW/W+9tIZCL8YLeugXOrjGO6Wuc8amrKrMhnzLdqVch+XY/qlbYvm
rU5tAz+7weBgVdWLwRw1GtPn3lT+2vJmc2MXoiEkvigobLyoMG7reIjPAgPExlSV3g8hMCEhTfwV
+Cnv2CbTLfkgueQpqSNkpt78AlaPjJlEkA+MWX+NIRaMVl1258y92k4xaK28Iev3mksQK+3pknj0
3iYG3s45Wmaz5xI5L2pmHVPkqQcRA+pym5RTCAg1HLZogZ5NchzIzUDog6IgqVH6h9NmWAbrYg5F
Q3nPgecM1Wp4V3GYvpUKN8ImNFU3BFWJq/RBxnG3y2vJYVcsM+zgym5ZGaL5gQulha6bibwbA303
m/q8m1yn2GdSGPKlCMP2x2ClOaU1ncPyxrombgcUBmo8+nPiQFILTXde5zOWhTUnaSEu6BU672gy
or9KnNRrX0zFHiWJfMgX6e8TkTA3L4YKZzkn/LTiaVcaU2JVjOiiRmJJ62XpmY9miR9vixKwL25f
Drfu4unN3DazdUt7LzQCJ1EMqjxS3VZqrBEbIII9ZdJvn3FEpQH2GmJfa0DirfCmH4v2F3K2sNHd
EDpSfFOmvooCiWsLZnZY7GbjIG8LrLFfiEtof4A0wl24kAfPpddvfYhyCSe37m7YClkG+G7scjP3
hdeclRfN57ZySDn3+iXfDmowbumGRaznQ5GP60Hm0N/CSl+SwTfOFa6wr5SWlIvuWHvf0rTJ6K6z
cH+pTc/PNp4cj2kXe4gGRqzKWM0dDWzGx0GPpO6VkRLP1ZAnFHpJ9VgOoXcbNirKtsKT33KLBtTY
4nDpbIYn9DN36bDcZNk48GHTAluVi4hgihFLNPVTt5WGjo4aq+cFDbWg8dH0jbtCPN1u53LpDjAi
rY0WSdOhR6uaL4Doh33K9vUSZRFSUs+LnZQrIZmvWdLsveK4tBnHqtvzqEYI2XrzTrepIAQ5gyKE
S0CEIugm7LLBNM1hu1ZuzC45DcsJYTmFAdXwN0vV3oHuanS0humzNYfPphXPBiXAKicPDNslEn6v
Ih/FJlYlqFTZvzQ6im5wJvu3KRqoz8EFIrdaqmQ+09liZyg4WK88Ybk9nHmTNmiTACiatPhsQfLr
FbO1H/gGx/b79SVQEzsj2JMptmO1ccDxIFsfEkp7h3EmpnAIhSttDjKwQy6umkNK8OVFNWRuBWRJ
fUtQY2TB4CHfnEL3bog7depYgxWXFa6RnLR0dLBzH4euXg7NaJM0TSiYwW9xVpbAFEdhku0wGgL6
ZomY1s2MvLenDxft4FmhDPfGC8om+Qo4gCtnG17RX+wOzLigApWFfGF3CmwR1wtGsVmdBez9gLMM
Ero889a1uZzgUtVHH2kbmMFaf8z5RLutIDUw1NS6Ykqhv9Zjh3a7hFVQeT3PgTDVAWQTVTPCMAti
0cSW3GXWtHOw/oLFan8PK6wwO/SWPreETm4Nu3Eht1iRsWKlMx9xKznfaWVcU7pTD3cEyLvDYrYP
RdjEd6ZFX9AXLYFSTg9DHbBVl3Ifzs4MVcnzqnnPN96NAfYNhq7eyB0b+8dq8F8BArkv8eI4N9nc
6CDzFpPWbDGtFXvvDfgsefKG3ll7HFdeBxNWSYHWPOBwoDfWNIxBAtp6ZRM8eZpGSFb0EsS8IYSZ
aV1JfXUPdYO7bhiHIwCu5HvUYJrTedhg1GKMhpe8fC4clT0RXLI8CBG5L8zrK0qiJCxwh/c1xscI
DEHupDAo7LK7JhokYCd1bj12c0ne2Zwg2LE7AosWDLBaEsnVjFdoIurVMsDFiALLngrospwlUZJX
qPgS1xgDdN0hfuMru8Kp5uEryyhaa0eo1N/61cjRHiZrd2AK7S1X6pwutm3i9g+d6Rn7nON9xWrq
1SNll4Vj31ejuE/yOT3XVRVioS/QeVUN/LtRObeTXdb7MQPF4dVLCnCkpQZqYbo1Yarvkqm6w2Ao
n80pXJWN9TWpnHefmAfc+WBJVpz4auROqJXWZeME3ZyfCLdT+yiKjQdYSxKkvfRuinnMT0mbPZVY
u1FzDTEKM8t8dBswA5CKwgNa52Uj6uExtFACeaEzPqDINKA0quw8sZOWfVFeIy6gzsOyeHSWoti1
XeNsrYIuMw1deRpLG1kjqC84dhV88JE132sMIDm52E347AD1ursendM6jbsfHdXKxwxEVWoxBf3c
N8GkFhetrl5lmP0PsMphQOHhgB8OxDYP0dVxh0swZXKJn7AgbMGQbiRGlIPJrGtDqNh3m3TvYzSO
8kKeDoL6JrOhPQlW0pL+E4ovku2qzBD1irg+b2OpS61qSrEu00PQKAC60FB0DMInLTRhG/nRIztw
0WLjp+V5SET/Vvjqo/dEtOvFZB7mEhdH5+XOPT7FoGqhuC3dXmjqu6qL7GNTxxd6vxWzg2JXxel9
JRRYFr2MLE2UwxYgctr5w3ykAfacwVqJtOEGDB4CK8G8Ew1EGEtktxF+e2qJKf+QXZgEmWy+Lkt0
S/oLtucoqUDwmhaMeGb7FtuBUFutKIEWlRxAerWg3v2aJAEA1dz4c+IelYCaCMVXEBM4k+1KssLG
M4uUJiXlhDL96WtJyDG618xey8qhaO+nbcSai/M4ygYkzupbVZT2I0zakpTO2MLjOgr8J8DGOvLe
ZzwpVBXxjRIJ2GAUr+qtGUwRvUMiyng8G+1Q9/rmkwT6TK010G3L5mGT8dzqgFp6Q1jA7G8ZUNDK
aPBshcIOH2sNwCPp/crfuZ518BXcMQ+xfK0sNKjlgNhvP7hL8h66Ibuim3JLNYlZpU8iAXxgU5HG
/nuUhCzEJgbAwKgxdR2dhPoEZ7GDScr30+zej1wlD4yz0zwgLva6wCXpba6GJViyaQrGGkLt7HRk
zkbshw60h+t66iMrz5rkIR2H7LHvgCMHrBvlTqYLPc0xLIHwOonjvuky769sbPWRwcdaNbbfFyuy
Dkiwoa4LrGrKtwtWhsCrZxO0rWK7zw2+aorBgWoR8au490TzSqO4wR8/Qs6YOvcGVAc9fKSIKP3w
lCz5GR8zDgVdXySQ67bQ77GBXZ851wUcL5j/8iJFdAQNIh5t84oMJ04wulccSE7ccTE08LSmIq5X
YxvBWZ3R/ivY+9FsaTLX6oTp0ozUL/V3Q+F/HaLhQdXTq43yuVvx4PLEA3A+TEggIy/qdrjNqrMv
Je6khhu9SGg2Rsq6imzM/oG9u2SHzOiSpbkmFsDFv7fthD1Fq3wZik/MH3nQ2LINOPbAnI7lqnND
aiZ7MFCZgCsOtN+Oj+A8u+cI2y+0NUmTOlf1OUXAQNbHiXQ+ouom11ybXkyToiUd7ZV6oQC+Zrr1
2s3IMhwq2X1NzLQtgoZg1uPStQbQGXxyHHwTxsJ1x6ZbAO9hVBF49AvmNPL3s2H2a4NSx2L9Kaqz
kZfqsUaGykGL/mliIKfHsvDWRsLczVftJb3V6ZRUqgHaNS2vs0vVVgSMsuhsEGORXJymeB1HU95H
C+CBbdvJ+as2kmzfczo+gTRxXud6QUFbM9bjSLSooEpn3zhNuTBQq7p8DOjBiMUkvTG8SFpD36lN
qUJAJ54TiK00Kvj8+CRF7Job9K75MyUcaB9ok9lsBWNhGkfbF8wL2iF7Lrp63/R6hGc7vnQtcUZt
FT0zQN5p03P3ObOkTb/ALDdm5NE41hU97lRcZMRIkXUleYbYR7K0p6lMBm60Ve4YzY9ySc66dq9a
3HnnWs0aZAWKXpI6EV+TGLJ4CR34WG9iCwZ8i9KmX9mWjrb+XFjU+KhhnDU66W9WD70CUaMe9wX1
56tB7ueWgIL6oFKr/kDzDM9psrhBRvIXk1VR+8Njrkyw8LXZkepJfhPNtcW9dWOveLYmB/ks/tCB
XGQb52Y5otQfSie6j+vs3Lk9J4tBJzdMThg5WEVOdJyfQx4x+qsjqBiXhwWSLYHb5tiuLbjRezwv
eElIvmWcgAHtlYiR5PtiNmZQIq55dEhZp0886eSoFpslTLnktmaMzQYrpJAjqeSYJ5amZCLo99AQ
DQMeHLjfeeQcczPMACoYoWFDW8XxNLdAAIC1cRSzCPvu+MgDQjNespbQYM9bvE3iDKQjembKsc46
OK5mGxxjtQNcvbQoszvrRAVXreKGqeKwruvlHsNJmybis0L4HDQuhr3seuIdFyt5QK9XnaU/9FCe
8/QuXRZnz6Mk75BPLy82jKsNKnu1xpRcUu+pbmUt0GtUVqGzT1PWrdLKbtE5gdp2B87OYT0eWXGn
AGurt+1ZpSGVZ8z9KxjVq6wOzS857QZwfsTc6cyPkaBLB9S4n+CXqNR33PtuCOydvFOCZ2FW97YS
q5is2CCP+3FND0muDfT/sOhE99oksXo0uT/vY21yK0Wyo++wVA8KqRYyZ8tBGy2xq7HI0qAa7IOB
LYRuSjYnay9ToE0Kne361um+1CFrHREsDPTHEmXbajZSrrgQfQzdtgRPQuQN1Gq3ir/b6GjfFK62
y3wV1zNOFIGFUJH0dcAXHsDawDIiIkyyHGZKKedjLEgVZRUf+HbGqvbexSjeSm/+jAZXnpQv77ih
6NbTTSJxqEvvYmEW/bpPm2vlYMfFdIZXpnP08mPb7yoWzziIm3bYc1vXHB8lLdOx8OKDeU0jdWuj
na8b0WCsKx+yBJJ410UysPi35WCGe+UWzXcrAvBOzz10ZXepRTEfSmOCN5yJoSGRIEU+E3dJeB/R
LHrk7kq+ZKU2X0dL4pnAR7eJhIq2YRUuF6esAJDhoGWAOg+MnXPTeEV12T1ni0VjyiswSKeL6R3i
xiKkwnOiTz9avLUOjWwDH2l+rIncuC3xe2zZLfKN4zbtTTkZRActxmAxfjF/r5L7YJJlfRQp1ZcV
EV6l5sg8iM7HOcMeAs0t9+Ztaw/LmUYLuQtxJt6zKHJeZMtBu6RI2rcibunDQt+dEmjWZudscmvq
P4RfWweo8aG5cq2RIIjYTG4xkEx33JE5R2q7ecOkkX4nQYheehwtj65rDZhqqHf0emZ8jIJhTdd4
hb6Rv2Z0SZ5m7FI91BXYM4ExdO2jORXt2c6qWp0NQs9vOjI80C6Jsd8oaq19ncRM0JfMuJtl7FFJ
OoW5980432inQ6NiYoF2IUM/hYO0zrGuOIiYLk2b3Bp5nnn0dNQyxPSW/DluCiQkAgnV0lYnUYln
txSfEmnnU6FF/UCod7glkiu5nmqrIbCT5MUgB/kyQxd+klM2PGCxqEBT34+0WrcWXuTXrHLaO2XK
6VWQDrFJEaIcZZV4Qe+G/SvLyqsDj/Q0i+v5YCyys8xs61jmrbHLI2j3ETawIFRD9kE2cbutR8sI
mmJIKFUMVgcEVntqwwQQkbY6wkxcWx1yt613Q+Mtb0VUN9ij58X6XkjBeazVQOxzzslH+C7RGug3
fVmbVKfWwW0cadzFpBIgjSjx5w8SHGuhHfo+TrdrpNvf6DGEVuaY5qvygeLT0BxCgpuSwryn2Zoc
YSJKOIxdym91p22ljewQ9bm8027dbgrfNzEPlSQTmLQ00vIHTJetM7Fn5DiSdhyjQczN0q7xQ8RG
QMB3ua8dusaOF715cfyBSunTo9sakHSwTUJzO7lI1GrcrztdV58Z8RoAla4euyZfFXPG4jfbkIgG
QGzR7ehWL1PPsjMt7nrKGQwJczaYG8cbHtmgN+31kLjmIR/049yaexRDgWsM8X6GhxXg10KBwFQI
0PvEIMsjvkoXrbGKLLFfjPomlzb+w/nWrul+z6bDRIhfuW+9Kd3aHfFTTNwTism+T7+6em62Agrs
CQxQ9ghBwHlSJRVjtSS0wovK3P3P5YoTbxjdbzC2Re8iju0TJbCxXaC27kp4N8+/6xn/X2c57T6r
83vx2f6v6y/+XvFOkyju/vcf/9j+48/RZ3UNEP3DHwh+YKZz338288MnkDl+lF/0z//zP/2P/+Pz
P/WCONZfxpnuqj+kFl59IL//xL98IJbvKFRDJJM6YJAQof7DB+LK3/CGYI/4pw3kKkj/pw/EVNeY
U+KcTNfyXYlv6V8+ENMm5pS0QkS4tsmv87z/jg/kT1JD3phxzYGi+4yU2/hFami541CqfBw3JCCT
cTHGyxZQmBWYJlIahC7T32iIf1VvXj8IA/wMeld0y871w/hZvZlHOByd3Bg3i92CCrajH8OiQfGN
Ylr9tbTW+pNGnddSnuH6RLWi2lbGL0pi8jMwAsTxuLH+D3tnthw3smXZL0IaHIM78BozySAZHERR
eoFRooh5cgwO4OtrgTdvtfIOXV0P3dZt1m+ZpoFUMALuZ5+91xZ2zufdZ2PYxom4Ijjd3OZRPN4O
i4un0OnpCGh1+C6Lerzg1cuvytDjYUfvtbi2Z8O2JR86LweGEeuvLFvYs4Bu9O+kjMX1YDvdDxqZ
/AgviCKYic8NnyT42kltjFv/sqJhlXhz8Yy4T5mgq9IW/r2n7UtaOF287fAh7fpMeb96mWBhweQ1
boOuGD5Y0CW/aAIny0h8ZVdHxXLh4CS327fE5bH/EVNnMHrI5GLdtHZojzw4qQnY5EnIt8IhEX0N
ApvaJAfNlo6muFAIJMGsvA37SnWkS4g+VO6kICKH0MTTpvO0g+VZjfqjzHB6qE5eqZj3gxgHcFWq
OlezfK4wplJalbkRjG5wu6njV5dpKs4TwDYWTvQUrCxkq8SdFdjOA7bJCtOLOkOqhNAeUhTTAgSg
CMwCU5yQ0iF0iGRsS2YfERYJeOAAiyYrhL1Am7lmKHxNQxwp5eTlO7oLa+R1UPbgwO56BOhD0QG1
STDZuBAI9j6+3RGF+ZjHzoPQjLSO9QhFCylHwcEVU3IMFIp4UYZXTitANcBE20Zas4EV8UeV8RT1
h4z/SLDCYJI94VgIt2Bmq02ddPZOenxxR5a0aQT2gxmY2aA08tGp4rfYyW/LirZf2Og/DKfQRuCI
RJml19DYD3Wud8H6ilIrRCO3lzz1Iou39uS8+0N0FrkCN4/KAt33aGOroV0nhj3YuZSaEMCpS/Ge
yfLg5na7LYf+6NrZh+3InBCRfvX5HxY4d66bfYDTOJc9lUqgbrb5GDGjJe1TrOXR8jtag8abJMqP
vWudk0Kn+yaced8B51w2bdS28TlzPWNzpY+6+7b371Krfq1G9HtOXVi5pqCEA6Tk0GQ7QIHykNMk
stFTQO1XzO557E24h9O6wnmwyyEcZxucmXcONuI7N5p+JFH3dYoduQcMAGmGrpWtjKznyI3P1FjR
kUEpBOtiMC8ggHdzvnLoZUxEPq/ZCzivuR3yD0Ctxz1ZbQqT/oggoGQVFWyFRMjqFbL7etMqbb60
NI5FxQQqgiY6veUH+5CUMx0JsPhYexYdUh8fVCLXy3NvddiIOvVsbP6llcIlUPFzQD39Ab+63v9v
OTZv05+avMNH/9eD8vPw+x+n6P9Dh6uQ3JV/e6z/U1P4zZuuOPzzvxywf/6pP4/X4A/fd9iPcbD+
reXwP49Xj/pDjzPA5azEvL9Wvf/9eKUPHMXWtsGHCIJTLr/0Z8xSiD985YAD5lc8/kP+t47XfwyY
SNIKGPmlS35ABhTP//W4k51PgwTj0p4A0Ak+xL2M8g8RMOFT3W1F/cNY5x+thxPqt1fpX8QgYQ/x
N/8e0ILXxs7CZ8mCd4d/i/PXrxwnvrvIpRj2khvxr8hTNh89D6yu8UcR03e3wJdJlcdJolJreZy6
Ziq4tyYLJo2u+fDouJ3Idgz4fCtaZl4pM6xvWHdzNLTp7JW7OCaDvWH2DS5e0U48/bjoHlw/wnNM
4cdxkaO6tuJeHqgFQHSsZgbWAgWDz7C+NzFbHe49PzMbDwjLo0NGnHOL3IZvta3oESwpeI3tPV2m
NhIXwXxv0tmjOwmS+9M0une4isWlIC1I/ZO1LpinjJEsyJ7jMODrRfPUHSk6Lx9mH/pok/E0y7rb
vOGlmEJaZ7fRZIP8TvOUP2xmxiQMKONPV1rel151RNe6QcTUaIT67Feljxtopk9LptwMGofVJTkN
YKyAB15SHH6P0h8nEAgJzcG4dQRGqoeZwpJdROvYKzF0N97m2rNW+o1bb93RCu6N1fUf0eSEPGPq
UMdbCPnhe98YsFqzkZj1dGh/mUhI8J8O77Fd1LjJY1e3EVKZN2MNokWGIgiYPOYY2EFywz0JYQjX
Bsg8RG3X8uXdlJbevZ0u2J6cfPYv3GsU/emdfU67CWtuM3F0x0BUwLOvpJqlZcIlwlCFmwYT+bH2
huk8ZkF/YDFQbVeh5JCl/XJTTWPzhZ5okMxt01mAt1y/fnHojts51MxgR8i5PB0xg4X1JXZWOm3i
5aijxTz0MJKrttx6XRP2m5HhGE6NnTY0ZNnLC2ADTJmbaI0aoQcKkEI47eZ7fp+hw8dU4pdvcenb
x/gKyDX14SWRhsWYDd3G3w54p7Y+uQUAaSNm54DWUQLHYNhh1ZHJJiiicILUceO/+DPbEVplZhnt
5FjhVpv6gFSR7thq18xZVxGEKjbPtd/cDkPSf28rhzdS3tqvbF2TX1Gvmp+8MuljB93rXuU+vJV2
LjCjpd6QvDIeg71LhzQ+OChU3kbaILLxMvJVFicRmG/zsN/OcG++Y6nsruFRy2kbeSMhrHTMsIxD
PJr3BAOcA1rM/OTUi/tYiQDGthFOv2AvbPGIrjyEn8QhZLzJYtM8jJEIv9NyknzVKa/e3gt0jV0S
/AmiJirN2GOsVsMgpvWYhiJR990XE4c0PDpsUN/aNAOz3JBR3gmhAZpLfEY2inArflldKp6Svilf
MMdED3Jy1WtFjR0GcRCBlKAZF49sRGPJxhNj3uyHCg2wlq237+aBZF1MLogccCZzmj7dgc7RNAmA
lkhdEOyRk6K/LIFzv0/g/BxFMrISRQUSXCvYLM9qodsVFol+ZFHWrjcOaqcWUOViNU7wFMkxaxgu
tsa6nxtK0LciD/KXbLZCUGc2++2tpMz0p21rCtEY1MrTQulPt8ErrmaehI66GuBdQaUdVsNmkwXZ
xSqL5OL0iko0HfoEmpZKmIcUP+ULP1L8c40sWVAEDaQ4D0wdYIhk5zWeIW3hlw8Frc/7pemk3DRy
al/djmc6DzN7/sY9Q37nYc5PFF8XxD1S4BimEfMsojBjTKFkPDWw6i2scAt5KgOiuJ/4Ti0sRCuI
EJ9NkIXWVsBoqrZjFPk1dRTLeGd6aV4KW2fs6ZhduOaMIYsqG47Vt7TvRqAfA7PR3hZWhRaOFnub
QWO5WH7QfAnmiU1fF40q2EfstF8N69D3Nl5Y2ZfJqkGmROjZljhkkck3JdDX8UDP8ZWI8MVslOvm
dwiNdnKpbczTe6Ze97oeZZwcO+o2wuvZGjowVFjpmltdlykLizaz3ky0dlah5+luXzlVdADa3FDY
0imsEm4LTgqmCTNrBGiM2sg+04jwKO84MGurzMkXYNLDIjVDIZ79jt8ifDaNk8auqzsIM0EfLNdh
NjbbBpTdLe8k/V1h1761cq1eUIPL65Fl782CskIpaieL01odoWkOGWYKUwUPvThIzR1x2wAgB8SR
LwvFNOhPQMVp/fU9RdGLlE9TzmI09WzJOhM9C2P1oPTHPIzJg5ZuQwsxAan9aIfmLoD7guGU7btL
FuFrVcerAz2o022mOHZiWcT5BpQQID465Cw1dGCWQLoxrVlveOjvBpNETH02IM6Fi9SPGBDOnRcB
Ld0PSG8IfKB+yDc0vrJPUTzbhtGW8hzq59jgDJLW9jO17oWgOnUEJuTSo7YrA/hdDAYTdeyN4N9G
Ue386lJS9czjt7lMqP9HItjzt5rz+SydeMJJXDjFt3KYQjpXO6IDm9iWa0dFplLqnwZBB1A3r7Wx
0rL1dzP4/QWz/3gXTZFzsVWHxx1ZYBvQKv/F54P0E1kuYuePRe0w1cXRYSfWbIOa9f9GYyZ/X9jb
NVu/7ZS/DdmlYMHrpPNAKR2QphqOEYN6XpzbcVTf/CFJPpY8KhO61FsWJgL3Ei8cNGpGRUD5lDwu
k4f1vY6j4HXGr/nG6ZI+oFwmE48tvM0TMSVNA3HdN6R5Nm2Xq3vKIep2iyDuTaioFbZBy9UeW8PB
301u0fEhQFOcOit7a50wuqvH+iu2S5Yzmhhlkoma7qluTg5cDCiJGHpLjTdz4kkEcbpy6R0B07Yt
I1CtFJIQcih5JeiAmfV+aCwKskon+Nk6vXtTJZRiQ3aid5MJhy4SzJTyPHjiWyuj9ks+ud4PIN9h
QaaVt9k+dDpCHIJevQRHkeo/AmnhEW0HBRDIg170iOwVR4dhdOeZdXSMzS6ZhoxPpzsAqcJkQu4g
GMuBOAX9t0i7iBf1zTB63lfTt7yjSvytXIRg++Bg59jTBdDEDcs2jksOePGhc+xCPKeL+DXVYH23
1uBN9zIlPLAD5D/uE4pLyw3mPkH8cSrn67RNrR9RqgdmZEJbKDQkEreQLfvvbkvcYVPQO/Q9pmlI
bt1uzt4m4/IUCOm9NBuB5/epChoM9vFIFx4H1WK+mBxMBI0uHaGsOWIrT6lTxA49z7I5vgVk5j7a
VE8Fh8JIQ//EUrRUM7Anueqlo94J0WLd8bBzhHmx020Tbt0e5iHBleSrAWjM8mHhxqajRGxyDNyb
0Z41hljIolsi5gvrCGH9nEXcfAOSV8GHZM9Ga09GfwA1T0FJTzX5BzK8RAKXhi8Gt/0eziiyjvST
XUk4hZDuvKNqrzrFoT+hr2WB95A1lrU3ZRUcnE4XexVGHkfuGF3AObEqUywi4TaVlPU44ivvRPfD
pF221yNkPWqDVXhRg9aALSdDLDEr1ONCzV69t/swebJmAVJsMLx+fCheJs/wuCrgMVXHoMvmr5EX
dM+d7teI3OID9x9k3Alggc3wwdJs+OklrI83lFIldKS61G5vS6abDzcgILNdkK7JmMw1R2zneGxe
XVpvHQttKXZ4F2KRMlWyE8NsPlILg0WztOWTWXiobKgcaOjlKWc8NVEVY8qJ+n5yqOR2pwBRYZqv
QZOyD25pomMO4KQFoYY443ushDjGqra4K7nN0xFGebd95etC72NBH06Tt9ZjPS94sED0A+fHU4x7
hnC6cQKzrcMMTojfDsbewDAkg1BEI+f9nOLQVokMn+topJ+YzCs3QQ5KCgliukK8XS3agrUAjiiC
CE3LDcnyZl5a5dVfRF+WB6AXOVCWvLFvpoVG330PUrvDNdIVX+chCDsyKEPyK1cxfq1WRdyKKFbm
iigobuo3sXHqF3twi2fT2cG7QwTgZOZ5aq7IU1evFZMxJcKuzt4y/Dr2gTHWvwfrOouNa8HMg0xq
i5swHrkehlSXkeSpgH7vRkN39YZaHwd/TV23D/hJkTLpcsakp1eVUw4WYw4So31xPmXQ4lMSnbVn
P6tK0xppFb+qT+k0/5RR9aekOpYWrXL+KrdKbfw7VByukAkCU3CdloF9HWk8eTyW/fyqz3x9AejJ
NtPLPeJZns+YN05NdkwBMl2ZIEYJtursXaqO5gfkWHHDlOw/kLe4EQEILtPWV6XjLHdTkpP3kOWu
Z/ja13RzVJ1HOU6N8cMRsbMxjrzv+ADcp6B6MJP2DZEbImoULoQ7XY8dFEjV56BbFgaLhdQE6eMB
0ZIiHUxr6REQZ/WAU7e8lLMmGC64Na71Gzriy8xeca4rke5pdcYRPU9cLqZMApzzOxh2xYnEo9hm
3C/jLjeXSmr7xa5Kp+MByzK71N1XCjdwuqaOfBzZJezDJpsPfjXdq8SazM7xB0nAZwqvMIchthki
GXDnrNDehVGb3ghB622t02DZ27qo7rCQh9fLiLWYHoiQeAIP719Bp44t9vMPIlb5JR5Zt/VjFX6r
rTG4VlhTXp1Wxu8BB+hW8QLBgqn5Ld6AFadJI7zQ/I25dVnQ7BQr5wbTyZh0zXOpe/vktBE+eBPO
+OLKBJMHHRmbkT6vk5LJ+IW9YP49GmCZ4gOYrY9xUFX33c0Zg7gApHSgVRH69xESqAH449Eq3a+J
x6t0aIp32IyozyQ4U5TRkAMsmwQdP6KZc3MoRm6TeRaED9C4guwgghYarm9GZhy7wcIw4KKLGDO5
Kezy9cwkk5H62G5Jc+Igdk2+447UXTefj52eb+1bLz3cImALIntHJRRvitF2Fv/kl4wJMHRcQlBO
za5h26gBX59bCfm9xwv/q/FTOqQ9J8znXUD56VU4hlN4IqPNBoHsDZdo4xbyVwCDepei5Nx0pjN3
MJoWLH12wsV0EBkO6dID8QAhOiUh5NWnfnDdR6+3x3IfBzaPxCjAhgimNYZX0HSYO9JSzf4xZUvc
0EJXjZTRjI59HnSD3a2nowzHZ6LnQ21N/U92xUF//P/66P/K8lFI3lc8kthc/fsuiC99D4ouT96q
999xdL/92b8ppYH4w/acIOBvXGFBwOX+Uyml+0G5wmFHqXCjsbP7Uyd1xR8eJDonhHsk3FB6fCN/
x9EFf/ALgQwBaTGarn/q70vYP/VJ9rd/W8r+C72SXeM/6JXCZfkoGDqk8oLQs9fF4W9YlySaG+27
kqLIzC+LI8QVs2xtv7bAnij/rZsjtjizjfjY5Dau1IXPCfYi6Rxcr+sPxgdOEHYuTuCRkSbKBhLe
zZdhqXYV/axbhSizS+BPXfEAGn8k6dBf0VDjsqzrY1qIaHLm8kwbOHVJcxlQ7s6U8hgVwj1UXMTv
HRdloECpPWXVwHchV3pZJgeYZ7k5WVWjf3Fyz2wccuBQYUmXfRGK4M7uqV6I0Wf3M3WOOwa29lA6
LmNwX6b7rs8CmhxEuA2ZO9BVMuuYZG74npUSE5TfAlkBWusd63mwn7Dwpvd5I1ucgI7injeRzvB6
s1wTnOeCTFniwVkUzAe3oIWQ4iT9BoaDbxSxFadj0HpMkMQezTbx+BAL8BUPlIDFO9k29WUMvOaH
XRYtdhn77C08djBMEnahNMMrTstcnJmcbhZ/fkgs1o6+N1xUld9a/OR2kN7I/XCcweTSnLAZMSAa
iYtiS3K1uW0CsL47Si3lc+8zsJLmH3kACi99cOrsRnPUk2cr0UopRWg3AaEQsGczAL+e+lMq7Qan
frNca76dtabKIJvguZLfuiw4ZIl8OZZ8LjzMWYTdutPERHkLU7/A/ARDdDcHlIxtkE/zK1lO6jR2
LZZMJtcvo+sTx25in7jUtND46FribCu6HWuntX52eMu38AS4tPNOQ+HG5vjVFBJ/DVddwJwJFijJ
K4LaU6bvqcR3bPOuPFGhvq4J/aQ62gSJvo+sMO5Vjb8Ir1b2Qzf1NyjCCl/1oo7orPljmXusnmdF
bS3xQ47FxD5XaavOWTHEu1ZQxq472hwgi1BIP1Vghl3rFNomP1JP7jwomh1TTFllDSkr5x1Ndpjb
XjTcBcQyb4uJxpK1+nraClWK8wxse4aGkamXXjmJsyWvlFzVKPtPUxpPVyVn9cURxeDtuSyNb7RK
mesoX9N6S5cdx3zpv5syAgjCtfMUwop75iKJbBWY2uCezvT3gjFTMzUtFHGOxHnauxD8PkE8Q1Ry
h7cBYxX2NzhfxEPQlmClWYDLIFZYfJnKl+YySlm+IOdoQ+aOH0WbTyohd+GwvK5Gt75ZaKFjrhvL
a5U5cAdSG+KI8gUVramT3mWJHzJfesXFkEU8jzK0L+Dh2U86yp+fwqUGzp/3Ha0PrUAKDJ343u5Z
RtP4BYBo1FiOcMGvd0ShQF5jgqXnSBjuXBDks7Wmu7rlCp9fOlgJ+z6aqj1uvAITtTedlDLEo3vL
NLQxUhHHEqc5J/gGt2PTk2DpVOAeAn8muh3KIj07WeQcVD3Ls0i66cZmWDoCKu3PFAsYuP9F+d1v
aF+i+qomI+bMX5rIox7Lh+v7LHTp/GB6r4+RaUMWN62mcqyZdqlHxXOK8njkmstna149YlFcmAe8
RRO7Ed+QuKP1HpO4UjseqXv8bSertfVJ1WMCvTiyT2Hu452D0ncRMiwvKX6Ll5a6+Rc7sOtfxm2w
8i9T7ZyiJbCe1Dw4RHQd/0VErcXipDHZDSZHrhI9YAyfnNcOH5L7AU0erIAwzQvlIzi7mkm/pAnV
BuyCB5a4UHX2KN/ykHmhODqoCge7QwYZFypYWk9nZGrBmT15ihrcBPkY7lRgZlDXlXuOy3Q5zgSn
jvAygr2gymIXiwz/B+ni14qV0aHtnOGxDXV04X+jq6Y36pVdTnksmZsOvVO1d47shjsqi6of3OPH
A6NN+d0BZvI9DMryMsgxPbLvSHfTkju82yWZxlG7chtYFLXonEQSgKLS21IFnZAfK7DAjR6yPWGg
K28R5aVpJ4yrefrTYXOOJs11MdE84znVyqj+3rhLO5G3UI/c2HCxTDPUfRU/o4COv6rONjup3enY
Y/Mi2jZgZdjLmUmUOo8Ey7L2jDlYM9LNttduc0bM75GBbWoCB5IYTF98IimbPPkZJLWS26vnvlK7
cU2PtnUr6hH2ADYMlca3k6X1iUf1nkbcaluycjiFTan3vRZ6K6aCGggNyoTYPjvZ4jp3iQdQ+Elk
P8kGWgCdhMBM3mfFVYKPln+LiAFRTMzCq/Rqr4XD41CrdsvNeQL3bPvmSVMehDHZWfZOa/wDtVHj
I/QRv9wPcR2eJi7q+xLaMgLyFG5M9gicn/dNOXQXu+M8awY3P0XI3T/agJz41PDyVLznn5mF6bec
Gu+WQcPdzXXU7ERXzTfs7TBELMtJjtNyrIxTvBI3e885tCD5vyWT6k6mLLgrV9aJ3hjmGLyTPqkx
hoQa5cdyHzs/h1yU1faTN490zNCAMN0nqppxdQc+HgMfMvtOVpM4UL2EE8axrY8p0vJaOLV+4fPR
nlXQDCd36SFRx0P9XvbleAqcRl33TrO86cRHpkiqS5SLtVN3BgE/ltETP4CS19SBl9Yihb0FzowZ
p2uTOxFP1DAUM+GgbhLHBuP3pXAr+9ylKWGK0R73Y0LYamtb49gcjJN1J0f27F1DaYcfpYXdl8q9
8GBo5oPK79LNk8aBSffss6V3lFVK+ASHyyNpqDjdA38dT9U0DcjUXSWLoxVW9SP3i7S6LWLLwt/D
MmUth3G3yZWNqz7YOW2bmftwmvQ1uZ/iIerd9FfJE2dmbSjNtphaOjyAPn1xyzLbZ1x3t9iqxHOn
xuJAfGHp+X8FooISoQPhHkXWLbX3bmjj8Qyc9GSXqbMflGkeO2PuyW1vqgb+/aS7K11P9W6YoKwx
BeV4gplWSUfGW01Dw7tJp+mD6fi9S332BMX4Jps1v+t7cX1Pkbs8DctAEoCeFCreXXNWLgbStrHH
m8UjuFFHLIzVKm6ZguOpQ3y5dtvg2VlMedMRM9w7g8XspStkVXY/EHeg3/mFXx2Sbkhvsqoiz85O
5YhdxXrqc3KTxhdy6zmVvJXZHL0Hbuse+IzGxyphPUjGpXwG1iJvUzeIL3aZTMduGfsDbQJiKxNQ
dDHy0NmtODq3mbPmLb2+AD07wiOfEZ4PHaT0K03FzQ+RsdsOrCa6lIitwIdqRcKBg7PuMv9uqFme
W0Xk7uOWJXBUuEO6NQHrYwpxJ8b7wm33AAWtmhSfUXCK7OSQEVKiDz03Fm672rtRgR73Qk/QTiYp
niJElT2YW/92sBxM9DMYf5bc4qWnOZn9O4ieXI7mKi2i+qLALwm2F4ujWTNY6atPuPzUmrxBtXZ7
ki1pfO+lFc0qavFeOOgQ2aQOmA6gDuw9UrnX5H+Ck4r6gUcLZAVEaToQOp/cT16VZKYrGy6+ck5L
jkM6bGfvoLLIvqrGRuw8fMccNTNV8dwGVmBRNZ07u3/w7Q6zbWOfc7Vk+6DQXy2Kr1pSBnfjTCph
BJfIpsf/QnfOujjUepfWDC0N0hR7KXu6BnLU73VEDe4G0BVbHBxMW1aSFtGTbpCYlPvCPNq5L59t
b/ExxvcR/wKshzrqov/Cvul4/8jE/Mc5bTWU/janWWRj4PymyWkyQwHQwsfHMoaUD4cBlnI/w71e
GetLGzrTM5Ud4escjM29kxC7pwym/RalJoO9wgUfjdqJj8kwN88TvNCD7Vsgt1SeIluF1qUaNeSa
NkgpYvD4Cdjb0OMqYUVO+soO0bK41FQY9jBvHptReXuPatAgSK2f9GTEO9ea6nsrK7pTqeXL0HZr
bqHx91EbildnGBTgMp/20ZWBoPjet1Xu+3dekeeHwgc/u4M5SYQ+Ueo7N/X46NPLs4Hr8kas5DL0
w5PHDYVNH2XaBNZnouDJ/ADT4gwGcjmnIwYLPw9Aq9tChxg/qFyXB5Lw9NXZsfbfnb4lDW15BEi3
eF2CZCVF1V8XolLOrknZ7JN5kOOZ+M4Mo4nbLm4YRz7UdTfed8VC8dfE4+AWxc355Q92+t5ECEsN
TQt70yfOY73kc0gwHuxJJMFJkt2WN14/WCffyaNdly0sqpxgSBeyU/b0a+ymVwCD7aEa/PTg6ZLa
9qmFPREzO8nGR6bWS3obGT9g0Yoyh+HGXxY8j2O3Z3GS3i95xQmdVM51xPx6SW1WWht3GtNHPujh
1RRO5gomBfXUa3UaZhoEw6TnKlgaMz0nJaYV4LMBkdGgrQbFwtaqz856zx4/r9zF5/UbQ5d1wynM
pZw0W7fnhXQO4EyIu9smSe7d9Sbvfl7qSSCKa/F500cNnXg+cP83VtCfw3UmyNfpgMgYMEm2/cBO
Yxw5XcYCtmFf9lyuA4b+nDUkNzMeRusI4n5OI8TqypdyHVHKz2klWgcXo+lLLKUhoJrMYbt3h9Yi
BrxSNj9HnuBz/BFKV82pb9VE4FfSEKv9cD97Dbs2nfPGDXEqoeML9dZUtrMJadLGjDGyHMX+dAQT
0wECXOetpV2eGu3JXWE1jxbp6BP7HeoUqXR8ZAmHQJtyU16jlNaGtfpyTW13ezMmDGmejnq8wdnQ
bJOAaxiVE1hbEzT9r9CQcc8ELsE0EAgvLT8DwBTryJivw2P+OUfm8EVuk7xHKWDIpOYQOsrn5Ck/
p9BwHUgb6KfHdh1Sh3VcHYSMzy0TbLOOsuk61JbreMs3uQ66jLx6HX6LdQyW60AcrKOxb8XBt8oj
bNtl+Q+5DtDDOkov61BNcJjl0uekvaxDd7KO3+E6iM+fMznxFxe8KIP6uI7s/Tq8T+sYT8cHE71e
h3uKm6yfyzrwZzyky6jnV0cWQZvhUxnIV5FgWOUCfxUOHChPu9+0un+hfHmrEe93o57wHGyKAk88
zQ649v7BItjBp2ZIaK3jTOD0usrTq95hk+DjU9kDc6YELnT9i+31FtuyMCUSmA7+EXeK+NYRaKm2
bObi93kczHVZePONFYjuEqDmvXIxqF/coDmz0+n2gx0ukH9d86jLHuZJaTU5P9MMQtys5vxk9wyd
rMYyoXYSY/h1F1B8tu9nviv6baifCaKletPLAAyzxKfOvmt9kGH85ZmWfT7fSGvyrPM+n3s0f6pt
uD4M/+cvmFgBz395wT6VQi7T9Eo4Cov2X0+gUFM8SctecGQR/LS8uq/tm/XaPpq77gGTd3VvFf8F
PvufigM48wTsQSXgTvOo/PRa/nbmGQSWknhPdGSDEkFa7dKevHU23+VTCuOSm3Rzo+e2B5Qb58kP
4S/9HqxO/rEIfyIST77qQBXozM9ScaPeL5HLGQ7FVNlHUgPW165v5DPZEY46wn1EUXNPBTnNz7M+
TW3dnt1yrSqqlumKmwzPp5WOIlXwOExLcGQXEiM2lDjgPdEe5s60NytO8rs0WXTVmai4Gls/OMLD
sL6UqdHngUIwvM8jIb+CINXNyIX4KSEZ+AbgKct34ADNLptS/eLF7vr8Kp3i6/9ZSf8vyaH/O6JC
f1fc+QT/e7X+muLmf6vV8yf/1OrVH6HPmjRUGJFXeR3h/W+hocD9g/c/Tl3XJan6m1bv+H84gSLv
StoloHlmlff/rtWLP0I+KyGONAIxvpT/reoYJf4pNESs0WWTYPPXeau5+a+fQLu0M1rq5uVYCg/Z
ukAQr3g2gZGAvuoPRML9SH7lY4p1qNMy5dPQ5bgb4lnDye5Y4FdsatvxydgGd5Dye//QF1Z5G0xD
f6BVsn/Ekg9ZWNRmyzoARnUzF+kpgQp8wzdU7thbmZMJsRHeziiT01nWtr5pIDek9/5AZztDq5uk
zLuZSm60Uvhps6QuHmHjrM6ocp5naAmL6+ynliz8sVaMTESKsRFAr0D7gPiYBSc7BId7IjiRPY6D
356gCiq8kFP16lO5wgIwEsM7/zg+sUGHJVfG7vBMXoZ4AUwq3JsGBOLR+I3CCIRdhEAyDCV4xHKM
wb+1qj7QSuLVRPej9C7txWrHStDpd7FqFgB/OYEPFNMJGYAi2UidsjXFdfJA2VV72nJTnrHSYBaF
BGp9r6kHxK4CN/hcRzUWI9SFc+fY7KM1bbqUbYH+W3ZBMfcIOK7SEsat7sgMEhihWqsevhVObjCo
Dn39y1ks+pfxZFlbrs4N4dx0BmAEeg/kdNjhFoPLgYjcTPlJWI65WItFEMnFQrIuagkmZUlc7OfW
WK9d683WLmpB+h69tpMXy/FRXBy6QbEbd+h5mJQoRa7dYuS+0du93rKCgPBPbkZ8yMYO11WCKL4t
qndxIVktjoKIoYq9pE6REBoWA7Sk5AuA18gKbwQI1INoqnHn6K69NLPVXJIRBcvt6/YxyQL7rp1S
Eu8ZTHCzK3w/2JNSb97srp/u7DFzh+3cQnrgMU34SPfOnhIjCL4TBYtdylSzWXD0H3vqwQ+1L+ZD
EueAu2eo4VjawxMiUPcyNXX6FSQ92yN3CbjZ2ljpuWYsT6KepksVE5jx+on0kQjNfYajd1/k8IeB
k+S3AzzVw8DfxToMzEwkoKZ0XR8giGFZjTu+JbPQGznDcbm1EMQ2daSjayH6+uSUSXioXFkdfTsp
X7TwMFYH7hfpsgQiEUjMKwTNOt5wk+Cdz8Zq3mhj8sdwBPKSrjEqM9jBLg3S7qaNtL2LkPa+NJS9
Mn0O07XbE+lJcOFuWyJbMyZLHW5FyXZ7kztRfCGbsDy4zojFpkL94r3uHuG6q+Y/2DuT3ciRNFs/
ERNGI81Ibn12l8s1S6HYEBoiOM+DkXz6/jwq0dVVwL3o3jRwgbvLRUohuUizfzjnO5uY4u23j+Th
Afmo3KSDsp+WyCyvFq3aIfeuiBuTNh7hzVNdvuZ0FG8uDMnXrOpxxMVt+uqBCyOMZDi4kAvuUkFX
ue6yXt/PsmjeG7iYD2Xh2h8mQAW7bqQXPMmESVQZ54gP04IWZxVwpiDFwxSwhQ/HaJjt44dZUmCi
tdW5L1KSB4wEO9u0Ziw+J7LY7nwmuz9TSvptXKgw2hCixTzS98LDXIOQowbOv70uZF5VNUKCF0KH
dZd66FlWgUjr3xLj3+v1QXh2Fm/5HXvG1BvfiPxlYbbwMBfTvVdBYl9NcV+0azYZht8TEhUMDd9+
dxzaiT2auFJtkHGHFzKbhhMitewxZG3zq4izid3kOM1vWVDm/arjaD44OkOfh1HP+Z21FfqyDuI/
AuNMEioQlDZ50HSBePlVRG0YlR+6dXn7aWahJPl1fi9gYUjWAyWqNdufzvTtvb2OlivbtO4hDiBb
hlACR1L6tGVsxMZVS0G0ow8Q7FaIdjoxzcW1j3JK25vSHhZ4SL4ibnqOh2u1mqMyyXhJao2KD2mu
7B4jmRNZUU0osWD0dU8pM+Ot1oBzaOb0jaPz8DHKXfedmVl2IkUi/GmZ7knUxXROo4H881rM6QPQ
e1LRq2tA+tjRXiMYjoYjVSsxJbZFWqxtz85ZZ35/mxN/nKCQQs2TKQLYg39ksS/XXHaiSpcHo7vI
HGTS90+hSPLneIzUT5kS6z6OkYd0KBaQalJzSigkz2jhi1OSDUWEjhFGC9r04K4oZ2hM1aRONFFW
y0t2zZTHEZtYaLh6TZ43mka1NjpobnkV5Iu+xtJHDQH1EtHTaQ7C4mOC3fhhMWbbN8E1H944xNvb
fe+hjE3k82gnPg5bUsX8JvZxrrf1VxRG5gP1D8V65KjeX2cW26zVMpr2oKG5IjTrcyTAdvk77Ko2
Y1JNhNdgYccf6eJmpEKEaLLiqs6pyZxd1Vw/0dlBLuoZVe16kHTHmKr/wfJcS69b4RNfm0wZ961f
B2z/Yo6XVWOrwoYyMhr2uTkDghhQzWPcz8NvZ4QSeGdnYGV47twMMV7hsV9LELuWA7SrtphTbva2
ax/KyiPMvaNPX8Ho8tx1xpAU3MbQcHmNOrt03RTtvLioTjGaOMg6TIO/vQIv5grOiwEN4DjJTaBm
E+ykHMWL9vLklTsbDyJmiZ5dSlCN9JiWuslJJN3j8Q5egrilyPfaoUR4DHRincnhip0htvGYjF35
jAwUtHLTd+kNbgLh3sTkyr1BMdDTZlLtMUH7D7qmK6vTeK3Tof7Ix0n48uQGcbYLO4GA3wcGsoA2
vl/Kjg8k4NBdWV7fvxGrS8KTPy5vBJ1qslya8tgtfg5Pyi8fEWy5Z6916CJm3em3XrbxsOqNQzmk
IleFLL5qpsFxnFzysMneKjRttxRsjbsPmbgg9u2C/BygH3wPlmRim6x/CDev94QITxsCr3icI3fZ
BG3tPoOey47xn+jJAHEEC1mv817YfxFOWV9zKtlQ5O9lJMwrDiUP7q0k0TK4ZlvG/SLECljJdJDg
tE4wR4fjfM3DZJij92Fo7RKMEySap+SJsg8ff87yGqaZZMBuc1J6333CNAjbHMjdbK8JnM4/wjht
Mf4KFQmdeMHWLYXRVlzTO22n+yiT2j8Yw+M/XDM+7d5/dq+pnwbQke2N9VuLXWo/ui3hoN7oc2Kl
oxJ7rEwohas8yp8SHpO3ZiJdNGHne0iMhWTKduzkUf4JIh0sDHHrCm5OhCZauj+Crp8/a5hsCVSe
hL2UyQNO9bQIu+GwdHUYr7FbtWuQgEx7+TND5gLCBkIdadp70mjDhxigNptJ7/H2YSrt9RIP2T3w
Yt7UAJ/Lppot615XyXMuIu8+StzwORGpB7/UqZzjgAx3Y6cV2+aagGA0ZIV47mn6D2k+c/ViL9iR
wuKu82R0no17DPnIdwtCQLgU6rYrBEMRYdytKZBmTgECUq+MiyPwq3KNHDG67/y+xqltX7wisS+a
UnnVtMI8hE2VnLMlt3eIEax43dvcsdDeJHxcrzHeZgwruRuKIL3YrF/OEdTibGt1sSoORRb1t+1C
sbhqaWdeFYAz0MBk6TkbOZeWvgE01r8OUav9jTO50SsEEugj8A8fa4/N1cZBjOeApi5zXLwWYKWV
grPwwgY4uKBzje8jr4ewqqJ5djjEpuXE8qH50WlbvwAvnM8697C2uOWoXztdqQcOO7Y2mKzid15g
scOaUFJCWyg1eWdKtDlTdFtnquVE7Su5YdbinyS/+O9AjwXSFwIRmW5Tbx5Lc4XI5stVr4tqphMH
4tyRMXVOFwNtr52SU3O2rc3QsXlfRTlbsfXC+gbvQxTBhh06L9miHVBy3S6u9UGoQvdUItjDEETN
vqmx29wtXj68V56e4R+Pc3lLIgMLc1/3a8C5lDizO4o7H1PLe8cUo9/GQKaKu66MBaryBmzaRsUu
sKnACjEm2OOEAl4gMnQOU82ekzciKA7hKIO30BtodEYvRK2TeTyqWNKbrgL95eIbq8sZ4qRe7Leu
Y9q977XwYT0z8WXlFCUvJMMU80NRtfOwY2Pq/u5aNmqwWAoEhaHoryJOD0jehp1hF9/1jkvLkecV
7lVychcuvTww3FXzI+8MWl+n6CaSykA2tpz+GEfHQwus82Yi/+2NY0k9avIGCYIKg5tynPunac46
Zvj58maWyLPIu0jwsi5VyowHLCBqi0aDmvnfnX4grPt/0vDt2ogP/2/jkdsP5iMfHafev1i+//66
v4cj4q8Ac5oQmhmJ4K+PlvBvooqEqALiU9gKZaJN3fmfUkYp/4LkJpikEHUW4Gvmi/4ejwBb0Tbx
q4wEJOQMtDn/EykjYoZ/H+mik3Rd+nDH8dFZMov51/mIHGYIzdKatnNfy/EAVxx5yAj4bLXEBLZm
PYiqvvACZzMF43LlxV919PYfSb3lWQmIx9THZgZe7kcxww2+jEil+T/KjryhRttXD4Vz9CZyIFbt
H3E/UA+E/pzeef2g2iR5s6D+RU8Eo5jqoZHgoDbQt3pscW5pqM5LHcqNmxv2jWlcBz7rbg1zU4/Y
Sq7jPkQZ//DIzHhTgTSrMrov+8j+zWXiblPG6LgSsyE4NlcLhMxiS14Geu9iY8fGVbgC7Sa7M21t
zuKPr0JdLRZ22ZpT3+PW37SKmcMl/OPKIHdCMPDP5A+44rO9h7SOpaPxJKYzE+qZQiRO6Csmhq5n
oIx2ty7/+EQkdj9W62PnppBdUiwivlXoHSIIbCazJGlkbcY0Se86R+AUxj77opvOOQOjn6Pd0vlj
fiAKy2SndqoHMKQRhz2DVZcja+Zch3J2Nc7I3s7QQgv3urPEYYNqE6311XXj5cRT2q0fP0xXv06H
cUe1/bXFmrJq2GRBAec7MNc9+aB9CMt58sZ3wxI/Ru19qCy/Oqq8Zvux/LEUYc5wH5FgLdEtBzpH
rkaBF6woQjAjlSTeTTtDohlQWi3Ucuv2XmudIg932loQDmUdWCalb4C7zLAf6igcb3FRgrhQfyxU
vpHqHkmGDZHaD7vy7IseP/QYEArICKi2D9ioMWd1eOGDo3CzuL7BZYWryteE2W7J4Cip2Py+39gO
WVDbaJH8d//HEdYxbwt3c5aN+VEAp55pkQN0r7FXa4ncvJ6euzi28kN6dZ6REtS8FHGF+4/u5Lvq
Qns68dRxrIs/brax7XsA23aFhgBo5DHKOwozCDYMHIXljwVG2FCf0lQ4n3VgD9MBUqFfIDuJOvaT
jNLnNePG6uQYBL+YaNrs3MMwfGgT7ypb1S9dN0zlukegBmDMjk++MZABOruo3/wytR/p2bqfBDdp
uoSMlo3adAUq2ZdPYTviIYNK38vnpCWdGcUThLn1IOr5KSmd5buIi+WW8rFFszJUsX3XQnjDNlll
EhwRmVzjYRFRcRukATqFya2w/Yp0LN57a2nugtQTzaZlQFFvQhFkcJ7hSD03c1y7hNAU0A19wPw9
HWWpzuSixmpTR0CMyZawIvtmcDgTVl1UuOQE2wOe3riaoYGnRYKmtyKe2ZtdnnYbbg/avFmiwQP5
C31UhK/Wkof7xYM4X0xV+Z3XFnz8FjlNFLrTWzCiYGm61Pf2dtMW7zMy2ngFIbG/Q8XAzM4tqptS
5ONzR3RajM8fQUlClAwtsevcY5rGwuIGTnoYxqoga9Fm15bCHCwOjWjcF7vIuptuNhHZNzIOtgSQ
5OEDFQrEJc/BrLYPmCfuMBzGnxNMPTKOYYeOiMXsgccjb54TLZzjtHhusnLzsoJoqRkFuKGn82+0
FO2JNTYhctjtllfwDuVXM1ZjsBtzZ0KNwI2DpxLbFC4eM27dMTKXuKmsY+jKq0A8qnLzVBvixtYx
riLIcIgQOszgRYMzCRDpadR1PuynGb39qltIz95kjqtxioc8q2sliDgZgWrfYaOoABXiTrSj0Ctf
/LSzxMZMvCgAa/HfhFal1MbjGvS/ChR8rKoXZ69aw+MZvy2JJT77Ibe3PgpqDJpZuwuGmJjDDuMm
RziZQxV2c7EmuKA5aLejD2fwE3DsU16fGnIFy+dqGhx3zWxw2SJKDB+L2cK0P2dX17s03rgtlY3m
BGl1+iCGENntICR+jys5ybpxF5l+aAr58RAlYshuXSdc1n7EkbMGRF9sa5kIvVqGdrhHFhE9460q
880YTTajKSdBemGrhicxUFD7UakH5iWY2WtzXtkJAlk++QS/vKsfUH5Zcg1RAb1vwmCq3hD6yg8i
VVw/Jo1k2szZgL0ZJ49G+o+BSR4TvBUM3rCUb0tOM8aTXjLdZH0iDjzMi4W/HxTKNFV1sh6pDxC8
EUoR7vpGBYeSxIZvPQXNWwmv/MEae+B9U5MsXxl5gKQtkdyKvzYd/GrDP9EX63FIl6NdulnG7DeH
e5AkDJDXxE0hLvD964eAbByVQlak9122zBQIreN8gLq/uqvLsn6e8T/eVqI2qJOyKWM2nFHugojF
hTp6UXGZaPUYOMbjq5lxYmVzFDg7YQFwSQvhA1Xw4V3cZsEyP4+L8NuNSTEtrqKsbQg1xbXwyzPu
fCAn3L6E4Gwp5C0CuIEGZqZZlSZaKhC0BAzayRSHd5DLp/ngwg0O7mdf04paxotv8TQH71rN6iGF
uts4KcMCry8eaeeSGztd+hghP4pjh0NuA2fNOiDPEFdD8Gda5+M6qTkzpegy56dqMZdj4lz8N7bS
pGXUdJCxO1UfsAvseA2RJTuKickRZ8zV0BWlTzNczHVuBpwLJLSmqMsB7FpN6Z3sxhNyPzo4SYsI
nQH7H6yJdnRFPIZzjF8WuAVibwTvXoOCcvJC3BPNEraocrDIuWyhsp+x3UdnPeKT0BXBilMhBjZQ
hEat4to4sPf5ofdpVBl/BYSn3/dxZG4sWjx3LQj42JIBP3vojRPvMpJi+oWjM/p2jY7f425+tmwu
VrJkIwadMNbYAKFChaWgxULp4dXATjmLrhTLRY5HFlb6s7HiWuztMpfWaUzTo+3ix5Jt6D+gjMUn
QnP6DPCq/km8ZQdmOG3G31h2SkNtkMniTvcxuIY4NRY+ZLlkaMd9SOLiKqvB/ZdNn5GMgm/jlsn4
WoF5SPa6sqvvRjmifaBpJ3teIgwITm6BffScBADaVlEUDPPKHcP624nAnlPeyHg8hhi8NbdzxoA1
t6siOJWlMz41wkeflGQWvtygYzZBgmixPDpt8zh2dVadVEujSnK0mR9mEhZJQljiW2zhySFBIy/W
8dTCEI25svq8L7BZujHCadyBvCYU4v19srTxsfAjwLOplaD6Nc4dm9QYo0ZvUDKgRWXJVOfbQOQR
dzk1yHfrOtOLKnEVIAqVG6/C0snB679aVhnOuIGF3x99tHnlB9EGQb3noA2eGZe63wNj0Zp4s7a8
G9iGvQ4TzvyUwYB9ctB5s3eD6L3OmwhRjXDtVyC71qXrFUkr+Rjh8WXbUexVod18KyQ6gWmua9wM
We1+cUHmG64sjEhQdJy3Puw+ZNswMJrGnJ4Uvlz9G/dx82YnCjqhHcSMfFQ4UHBYyVy+NtEQPZsq
wznpaxxAgnrxyTT5RPwvw1j5g61jsw6aJTdfvUuymWuxhbTDZEs0xfwBvFgTQhE/pZlEOCcdTv5+
Uk5waoBc6YNY7HE5Z0AT5l2Rl0N6SbAkMPYwFgFZlgtN5iDrTi87/uuqRecuAfBnl360S5qhRlna
ONPNgFXwuWs6QCeJjOQT2gM7YSnIVR7PaDfbuYseefaXwzJiSieMmGt+Uy7DcM9eyl1j+KpvRN45
O2lRFSS5+wuJDe7X+uokjls/JVUmBafwVjR1jL1eMnNbkbxLRbjgR7utnWa4d82EFjmtVxN7kG2j
4+kkUKRuHfZa67Ej8mQwBJMOHbyIdZx7gHadGLFgMwX9o7HCZR9JRIk1ny30/Ws+Dmu3rCKaKrBY
sBZgfrdCxw65OaNlvcc9HugTIQzIYwen8F6MM2qxIc/CZnTSjvhQct9DisNFe4nca3NWeR1YWqRC
01MyT2G+q5Ig5U+olnfm7+an5KfQm9TEgjhGPu964zKS3btOO/1sWNYQ5WJn7l0Sg+ShwOWETZeR
Yn1o4xNalOlXETbzThPgdCTTe0kOI4LcW5oGPzw1aS0/0wqNPFRGQropMhZvHS8BOJ5r7MPPSV7B
XmRcuZK/YrjFQYZPNOAv1mPwcbJ0y8tsk5WwZBjvrEWfuywHZBPbgtsdSnt0CPFq1ZsxzndGsCdc
ASQo7qSgGEKvKRL71AVxCF4QuwPy9cRK6apobxA/KywegZvJn6rnAlsv/UD/irvXvRJlctZSoQ70
/IIUFo4uu4wg3RHGHX+PTavIZhzs92IqCX6NVXvIao75ReJiW6k/vOKsr7aMmbNNoUgsXMmCNn0N
vpLgyULq7qdrEdIXeaPaa7uNX3FJw3iM5vo6yE9z/bC0+ANOTSWxunXQODGAR6X+k2UHCNFEKQWl
jKhrELJNd37tBwyE+yT4ThBgPDnEhcYBMviVSjVb/RKxelEv3g6/uthDy/dPIIYNbnu2APWU1Pfe
2IhN3WrdIh9TOat39maPbWhw7bcDuWpJmXRf5IDpfgc1tcfg05dA+e24/677ZbxDYViB6ZCCxAFV
wfFeyWkWH3gMxQZ7mf0bP/3yCCOOkBeS2M/ArTRYiYjJaBya22okbMYLFAYMKObzusGywMT+qxso
eDIdQR+VJXCymC5JNmLfpTkV76idt2WJSYmlipBXB8qgk+98TIpjFzoFuSo+n3dKhQz67ULOXn0q
FPzNfKzqe59reJcgCf9JTUG2IIeffnKzDyGV2oJrUxT6JXpsYqC3jC3VMcNM9UTqmti3PmAJDs4N
klpnbyMO/x4gTx1C0bpHp84OS+mzN9VDlm5qFtG7lBn4U8u68AbMg/gMWre8YTFqPjBCY8wOM7gM
QT+L6ZAD7Y62HJLmaxk0AsQysxsgSso/kWxL0dVIfvf1yGb3Q2Xan7dE16nzPDjtgZQTe5tphxxK
9K2HGqAMj0md3RvfmS+sR1W7UsjdzwYGHu42nG2/5rTLcGlSQeLKLPznGQ3QeZYISXVXuvTEOc53
fLMbSSX/K7emdt/25KdzmRDy0Q0280413HaaQ7TXaZWua0epcF9UQXSAEbZvch9edB9PrFJqhh+Z
rvsXyt2GAQVhOuvpT88BiGTTIHv47YM1BZNRLY+I3pZ3kib1Y4mHdcKyQpJvI13yF0pBPClmCtC8
abxXVX40Mqr3cW7ruyFzbX6hyYf1r6qSYscq3J0z4LZncq/OY05/Onhu88MQqeTZMwQZoTz1mAdY
dJkdTw+5gEQxoX1g01lmP5rcET9CUdQb4ofaC958e+uWsyQWCDZG3hkm1YTZUtGo+7ghCFDh5DjV
KHAbdksHZ/IuQH3N2m0892ZW0qaQChaWojgbSkCA9MhjAlgqsrYjlzEZ11hOALEVZw6qdMsr47+V
VgNnIGqZ57MfgshrR89A34Jxn4hxetZ66nYGeT/PRzCoOz/yfKhJqZ5vTc6OmRMXXQFGgd3cR82J
uKNa3kx2WuMPUBWsmrh7t9C1PCvdYISbmqV7WcaAai/KHBZXqdh7RSb4qy7sHDR//7aM+q3XYQE+
NZOhDDGx2YxKKeqcJfM+pzL/wEubrKfKZl5AFPivcfbCPedD9dgsxlAOhdYFd4cP8de89SkX62AX
4JQxn1V7NakRYsD0iPTKu9QqZPXb0w4QuYRS4SpsUskNmL/yiJzb/yV6594KKbuRLC8UZOF8r138
iBMLizUAXYvkKYICoQrt4yntj3pamE3N1aJftSzUO2GDa+yB3CQRjhmv6dlc0m8Az6CwhSul5s8l
yZ0XFvHit2kHi34gQM2/JPtUI9q81Bbm6Nt4xDfH92Ibs+RfDSEo3dZyuulA6T2zfk2L+6xT8gBI
qtm2ooBULrJrDNsM19NHlI/is4uppBYVScphXJNIodB5gcQyw4NwCuA1qrS59P7/WuG/BWlHeclY
X10p6f9n5eXzr/wD9HL5L4uF//KVfy8X7L/+bAECV/P9pHD+uVzw/pJwxMEnBISIKS3/yUmwg79Y
lSO95PS96iJ9Jv7/XC6wiQtQZfqsHthW6v/JcoHv+G/qZ62UA7fNR4wc+MDj/00unmTosZzUkHkk
+kdNj3kogBlBKVPDLrAK8yv1UU5aoOVhwxTz2pvybjfG2jkQUufsgirFxzTqqwE0t4166GhYd/YS
lkeCmXFq5tl0wa6hb/GMeUcrDFB2+KH6bmVY7cDypLjYEP18dgBMiNOmsUFbeBUKsJiJX/u67G6b
qq3azSBRTGMyZd3noVIm6sPA8JwiYh8OTMLovyIDN2twUTsxWP4C89ZuZ5IdfHJFf/A+j2uKCEjU
fBzJwpLWcw/se5MdQXk1w8nWhTPQVelLWeCrXpdsy5eVzCfyHyzWAOW6JL3qDr8CpkxK6xqGphVg
JiNEudxPSFtfSsgC7wFtKfeER4RhHaThs+gTsjFhj2YApugFLtco2mo1WICnV33sJHd9no+v7RV/
viXWDP6SWHB9mfliz/ZIpk9nvipRFD+Rt6CR7PKuu8Mdgt8Rg+4I5NNWr6Ewzrl3HOs5zjzxw6rI
X1px5Y9HAOUGbOfVGEsA/Lc/I2BdR3q6/uC5s6szfvYhLqnOfEoFqAhnwRgaCQ72209qYvqdWLgt
iikh+SH9gN7Liat9JlL7ThYB9FZ2tDNM2mviDK1lj9dEY2Em97ZczTae5BhLNtqUE02HwJTIaA1c
VPw4TAmxvmk02tebpTwXJECGzOIW8xGRIX8ys2dueaCGNMTHBvRVFyPwgBxPedwGm3HqwFECyWQ1
3uqDZxXJa81dt1kmq7nBZZITbOkV68KfmjsMWdG+KqoZ4SlNfBxkYptT6h30UJC65WK2lVYHSYPc
lp/E+y4n4inDe+7G9HZOeVDbyniffVZOOwCG3TGrJId56T83jVnjLK3WAELie+4BdLqoWV5qpwp3
0eC7HwkMsRusS+4a/FW10xjs0Ml2b0LU7wX4uZXtTQgymvG1C0b6VCJDqbAoepOnYjKHdkrva2Qa
Q6xOut5F3oKgt2QxTcQultwBT68qEdOuhZTQO/B4Js+8B94tbZl+xGWvycTqp/SUw5P90XkClUqf
VtmmcmwHCmoBDG9VT04RrQgomZ8oo5tDxjN1YQgIUWHqexDF5InhqXQYDBSVdl/L1HcvqvCdg902
ubeaC5JEQs8kv8n8rXctTLge/3TYfYoc4zsvpR8A47Kh/TAr5c+vWWSseE7m+9hlheI2md5czY82
IVVYS+upieSGoiR5nAgoRDk6xwWmWz2+10laX5KEkORZlOqSRQ6LPBrehe8E7SwfB/sxkPhr/KWh
moXfNT77AXu6ofDMQZtp/gzypHiee1m1B6lT95PnO/mNNc5xVr6yMQRTxcUfdpi7pCIB0UNbjmvv
LqUt2s6iYEjL4sNpdlmVNnsTNey60G7G+5qUhLsYLczzWMgIgJiST/D4nHNrNdhI+VD0PZwYu9hI
jWscHEPk7gcxRHeLSe2HsY30PjVJfyZ/rfhKeYT5q4aOfO2qrj/nWecQm700Bx+/MkPR3L+UZUG6
WN4yxWaZEYobHbJzCxoT3Sh7TM+of5ll+QoxMZZxbM0WDjNSsHRubXl/vQspLsWD30bi0ZUT8lK8
VE58qhfjvUR5IZz1UM/tl0E7tkakTz4s64eGHE/K9ME/pVd4JLr2ivxWIjZJ9baqbA+LDspFlvjx
yQEZgKq+vIi0pYC0LYWYxAEfGAe9fZhIw4SQhj1P8eJuO6zUe6ofBJNmKZ86loCrnkQZKNnBHUvX
6JbVof+VOUFyayD272xZLaem7cebSBeS1lOJz2xB5jyOCjFIGRIEWyjvpiPUCstbpM9h0OBFwaa2
5iwqb1BOgrClUTFbctY/KQirbW5bKLrdUr/hdNxpf3hLNYI1Xn3IfRDy4kZiNE+z8dutkl9pV3tb
3ZHQRJfBzL+yEOI4zSmx3GavBuUemVrfIXTzNjgYrAeAuN4BvF95jKzwdPVtQijUkwDyYc0/5hrL
+yoEsPkgQ/waENEtEAiu3LDleAbBMO0Kgst2VVz/yAVK07zuARu3yWdqjSY/SRxOiFSDIdswOjbB
SgzLtOvBPj/ao5veTqNV7/ys7i+tlNij1c9hqg9uSWxpySyKHXM3rIt5si9+Jc+22y9MisiwYozc
Ul+DTKuYMnpDChMcOt+qqxdG4JO6guVicZ2GV26xZ3p/grsJ0CdUrCs2SyxgE9h+PxerpDIk17f5
RzHnxUnnenh38KUTmRDPyW069yNWc7tBV+0Qb9X0COiWxvh4+VzkRt44DTcFqvhiJ0mW33QzQvNl
sJxfRFKMyZYrnmwPt+5jihkryte1GRICouuOeyCRXUWYnYT6izI51V9lhRYS+5S5S7IYoXDJrMUD
bLQK6NkQBcrbqvLv+LUY+kRqTp+dTjTs+QJmv2s7NNNrGMbfAY/7+6JAz5v+VsVghrKuSQFfh80j
TvCEyERVOOt2QkVUOlWzwupCdsmYLO9W1KAhQIl/wuKA5ghtEHwhQ2viBK1Bq5upzw7Dxs+If3gV
Mbkm0Q/AVFFYHl6Pun2pvBEgp863eecB+W6L4b5Ow+j1ajvYF4zzfmM+y3+Y0a13qPIVbNQcdDiM
tag9mDJAVjEyu2SCW4L4VK5b3nMHmP2QZ+PFV+CMSYFyX5PFy05TZ02nRvo4oZtGHOtCQXSvPXVe
xrLCoSqTazwcn5UK+uVLNkocUFl1G0ctoJaLZsSfaas9Htk9DIoXFKAoodCxeIoxW+2QzNldl5NI
FHxspcPKL/DNm/YXgSHUcxWPYjbprRToKTiIN0zgi42rrY2W84MFqOBUVcgNs3pWhwTMyYfiPAML
SUmhuoIoEr8Uu7on40Uusl+lre8/kHBjn6OQGUVRd+FtaRgRMOKhhQc9gp6wZW3oyEs0DjdSzr9t
myZsNXJNTUxFNCnFOUZlYE1Imym1LuzV3V0ZXUW4UO/3FnGlokNIjcDYHp/7sO1fZnfI11MyjTtj
4wm5skM9KFsbYHrpJhynctWZyCF1BS0hFt5gh4R5iteOM73zReOZUezyiRqDWIBUEOEVR+VZ1DTj
fN5M5l09EOde14m3Y2bobhXogkOZuPGJoF7voR65y8MBxGfMkuNOKi+/zAS9Pwjb9pFlltkZN28m
2Upl6p43FIszKZXtmT6keCgjqX4tYsKP2YcE2k7SvqhB6hP0RfWLeWpwqwdmy4mJkye2MA1YHg0t
E+J78k4gYn/LsZkfGxaDGwywXzhhg4NXspeIWL9deiRb767bs+3CioQ2iYueushJgX3NDankmHKS
Y1VERNLHqp45PQgGjhaswGhmhkPQevpoKW9+ZC/eLfiQhlOVeOGmhBNyAm02vxoYS3dTEf+otBfe
i7DOoKT7zcHx6gRuq7NnUptt5yhtdl6i7S1THxaCsV1dWi/lpqvDaFtTN7H85XAeAg3JrMjUm6CV
4WP2i7tm4MCjfqx+xGWifmKZyE5IAniA2849+3Zfe5hcB+T/HQFmDzgSLMSNetiCYJm+Qvwja51w
74UMCjc0/VdiBvf45HnRTeU1L7ofozffCqkyC0b8AwUReI7jQvhaEVyz2Iv8Y0J+cM+NCmjFoeTd
CDUQhSOsjRDIP2izoDPV5itJzPCcwds5pa2ZeazH8eighcPVPeRb2THcm4osPJjYXwfi6qRo8vTo
5d+QXYLvyK+dYwp006eEFaxj8vZrtuL5Jh/RPK3cJM920gDbC4k53/oVXV+5GD4+17h3lvLnPdGO
7b0ZEL3Guqo/BQ8Mgi97/A/mzmy3cWXLtr9SP8ACg2QEyceSqF6y5DblfCGcTpt93/Pra9DnHOBW
AReFerm4zzt3ZjotR6xYc84xD7HRUoZFsAeNoWGcqFywOPbUXjKSCesxiKZn348a5oU4/SDlNPOl
sJPJ8jn85DFmHHpZC4+yVwsjUlu9omUPT0k/4xgHESXeYfRrvzHLddsq0ss96GA3oUoohas8jxmP
ntYRt9rJ2rXfE8xykgIl3nWTrVNOIFdc/FIzL7k+WpcN3y9pu8l9yseBT9agdoWWs531u4uJR1lV
XCmFBG/ZqWLdR863y8Dft+55zOlnYGvMxjTH/04Km/FUPyaq1jeZnX1Vw7jHvvDigAVcK9FHN2xA
lIal+UR7nx1sJ6uuDgAF2gOVue17pRf9x9wL8uoUhr1BwnDPBQyiT42ZKUW6yLt1X0t3x7fH2gA9
si/mnJZnhVb3bjt+x2wk5aHQGWk7U9O4BadR24gUw8Xeha9cE57UxnNF/TOZiyhzdwaaFbkLEG+M
+oWz9evYgXg2KYueI7whE8XUv12lKZg5tAa+lYxISyGU+wBhkDUxHIfdFPrRXhnm+KFwgXN3JDkN
LN3i8LXy+THQtP6YyHl81BrYo6ypEzQ3oqkbPITzYWZT8eRmbv0RTD4Kcz2U95L7jSO+wc04WdlG
JUN9cVpDx/5HJnrTtXgdDbzkj61ssbUAm6i/9DnoXzR6re1V01vNRcG42QzdZNKnhZfpHT1wwWcZ
3xFtHEcrDH3EoCkyb6AOdPA7ZoRUk2Dv1Zsu9EqNzfdoz8ax9g0DVNaU3TvQHZ8JFupbzo87mOG0
eFhMXw9pDfCdvCJQqiLEyE2TsdHcErstrwzXSIiwXKZ9HeNcXFVcok9BUSEXUp2bHkqVObtEzPVz
XDLDYg4il5RRXue5vGLOBhyGdZXmzavSYbsUCwp3apLgzYqdaEeuz8Q/OPfxYcjx08kG7CMM8/JI
8fBwhyLdv7hMoY8dtp1tOcfmW2aM0dHtRfwnsDvuIn+YH+QswR0lpR6c8VKKS94g24cCu4SMU3nQ
y36EF1LNWJMKVqIfvYX6ih3J1D8gUibsMTG6/yKaY7NriV3gxnZr6dUmcIvupEFM2pgFS07aw7R5
O9lJeeEeL9/D0S/fehwXi5mHh4EDZmHCt3QlyeyQvEls/PcScaHrpTdoRvYgq4kRK24bOCh2HPV3
mHTKo9osvGJDM3Y1vCh7BTZJvdMAjvTdkChpSyc9aYlk6oxiGzGos6qNXfnxLW5UwLfW+YDDxwkG
ZnNmabXVJ97gfB1ibVQKLc6kfgx83AomUYLHdNk9YEjL9gL6s1drafZqpnp1LAgbYY2acWZoWB5A
v8WMS26iVLRi2Zu17Kzo2l1HBIT4qhlvNYVyiyZ4iSwgJ9LAeChHC6z6/1tb+f+PoXq5dET+37e6
/5H/DeuPf7vVH3+/mvC/AHB//s9/bnWtfycR79rSRZnBnb1Ubf7TMq74L/DolEBT/Wds/l8tYe6/
g+WApSLEP7G4/9rpYjM3THa6/HbKAt/xv1npCrpE/wvPYvkjyBQulWPUhUn138i3Cl2jF13cbvGI
kl8MaQV6mW2Qsp4sXHW1KFwH/y4KyDz6WGwtvY03vAjk/wAiMXhc/re/CX8N2+E8NiWORNP5+Zv+
H5wLXfaKZgHX2BSiad4SZ+o85HP/0AeZ8dIlEfcgzTWzYoECh3RdMsY5qcu1A44V5FoRbTVBM1+R
hJAqcSytcqYNup7YWXkZRSQ32Jr+YTZoc5h4tT2EcRTi/sSItbGw9z2GTU0KEbc6hENyUhqbXm7c
IAXsWTOFspyfNjnFgutQ74a7AF5lIFei7LLzdk8ItVxjroEyGPPrMe90ozjUvho/uOUJucbWQxbB
o3HUMh3OTWt+6FJPL5IcYk3MI+3IX+nVaSQkE6lp/AM5jIBJUkuOVh1GwGTCwEyGhtZOlkk4TxPe
J6Tm/7S20xyY7upraLU0hhbC8NTyuFTIkbdAmcjDuTGxxDGPaYERDwvDipsl4IXhglOJ0UNpeRfq
LkjwrwulG6/h4GrbjsfCgcoon5ymaZyrMNC2/BJiaYwNXjGE9b6hZ/UcaOZw6FmHefWUbvMpYKy1
qu40tRp0I3Dnm3Koyg30YQPdlLmKw3kAhtVaE3xX1b7ISi+ZawrTs4MqfE7zQd5Ruf0NFpx6Y9Y6
imFjznxp1Q2w1LTKlDZcgiyJX7ph1H4NQ9VvY1n7e8P6oQ0YOGkKBGhzrvu/VRY7G5Ul+SPqNKce
u5XuMsCOJE9osmyA4tyMw8UK2Zbl2onQKg75EbNar9tX21waOPUkIPyms6nOcgMbfi03Ntf7LjGB
KjaNwvISTktDj+bRoZGQcso2jWqYTiK1SkOfa6Rrco8cW7Q3qeLwyrauHsokae9RHLRg/Vs4wkFA
80euaX/sueL53ufTQ0YCD1/TIgfwsdqSvko2pdnQwtE16m9Qt+5uQPiG3KUZSx10P11Y5sDaDQvx
qI+muHVZP171EuNaxf3qDTMicObm1yjFRhpm3bwrg7Z9TFNJpHOJGfNgizfVDMQ3M5dBVM3RLZki
HnHCCDYox3KD5UqBBTPgioZV4FFhZXDVtCVB57J8S3MePG5k4+iEOrqBmvltDmGwEYObvdAFiJd6
qm0a7/nd8QyrfU8hHsWto3UoiAbvch6PuHYmlzkEjD45N9fdsHZ01iM3uVezxd2zIQSYAONj3NnA
W3mzcIVj95I9byYQJA8ZTb8L0ZUdV55N2T6mxfs4hTYtO+aorlEDKJNYGamy5mEsZ3w8fSEvTmFN
uwUy71m9EpfACa8uh8yGCuOr3mXrNCQ5Fuh5d+qFGX1ORR1+ZwHOviXEgJ1j9sH5Dzr5N7O6B5z6
exMf0LHu+5KNgdUe5ryXW8221ZV4DV1mnSRGnlvmh1E60ZH9pty3Q9d91uynnziZHXp8ivq3UbEh
Eyy91xSn0RpURl2HDGMFKjkASVmPfPgpHbe7btpJykcGLwziDMt1SWeAH9ImQCzVKR/Y3Az0HdZB
fOmIkKCNaPEWVQWCBd5fdtd+QCVRXtv0S1S6ma6drjdbbBeDolrcfzMtDVtuBiQQZwRe/hVzOt9n
niStfM+E0z1qRoFoYehN/dZU5QxZwg9wgFJnpaQiEGKG05Yzbdo1PDOQbbLwvRRA0hfjNj/X4SLP
jyYPqLkc8oC2e3c0z8uK4WhbRPk3Zul+TfSkB4cyzysG7zY/Omkj71bkAsCMi4yXXGvyrHJstaNK
hLoy13HL76hIppKCxLr9thtnqSGb23sm3A4zQnHNQw2PwtDscw1dAbmVBoU8ymZq//CdkWjmBTbT
Wvme2gl2KPhTxd3K6vTgxgRLAWHbB3+InAWmlx9Cwx9SD24kJY4tXYk3Ukm92AGsppcJWGbvnsvM
F8mXoge3exJxZj0H7ApYv5Za+dHwo/Dh+0b+VqDDXKqA587KL7igAVTyp2XuPLyWsVVDRql86y3o
+3uSudoJpsHon3Ce1GuFHqnWEgFlrUfmwGi5fP6Dsqa4Dy3IgZPIanPEr/QtJkM+cRU2zmGw4zR+
bJumOLS2iJ67umIkIN6iPFNUhnzoM7f6DpApdMqQbPUrr0bzcxqc6YCqJHdTBOUPa7zz5WZIyJgI
9ZiIk5BnP7bGcIVNsnomg6su+bjkNZPU3vWislZWo1XqCUB79Z5ZqnqyOK2fp6yqAN5r/TYAui2R
H0McKUjdI89R39wvGTP8I8wuAwELyGkQ49AfUzB6wrfjY588aW4P4h6Y7Moid7AhJ+MjK7l6pRM/
r6P3QcadsarLaG7o6gtac0MYXP5WOszDKwajGONulC+JqtRBBGTdTzgThf5RsJ7luNWCx3CQwz0l
6fJqaoP5XLQiO7qikVseqsXVT7XgNYfpcGCqoXtN9fwWzFoDKeGczrh0jIYdHr32JGyL3YnraI9y
MijwrDreAIgpX6QGjK2Dd3PCSuP3r/UocmIdbMqISeQI5lOS0Xk9z4Rfifj1VIUGWTHuY0H6egiC
A0CF8Q8O3cEj5xr+CuCTXGwzyNbUGok1pBITn2lgrDFlAm5BstHckfUsRX/XrqUntcakRa21nmnM
Ys5uHGPAkjkvk6ZZJ9SLjidaOonnU4Hcoaw04zwckcbDI+MMvcnAzMMXxgb1YvHihTvIwnTYuaCE
bkmFm3iYFB+FucDuGtdmDY+g2sp4Qt7pxoEAg8w9Otvt0xAsqa6CCi4vb+rmXvqsVvxYTgdo6e3W
T2j2kaEJd6aCq1MIOwVWOwdXQn0Aniw+oxae3LPSoI9EATbLyFqV1leoH8Y6vyu9+/AlGSYzORr2
ve4Hk8RH79MfSf7tD/MlVgQBbcjLx6lH75mqG6XV2EsTqA0epnPngcYZBfNb79jPNom7czTMe0Hi
prvYl9aeknsFDydyPJ68ffVQsNVbOxL/m+iyEuuzLqYbmzijYD09ywuo8/4WylBDUKfn9YT3O3np
OzzERqrrO9k36SFuZHyDfmc2m7gspq8egieSfTHEv5zWXfaZkLU9N25sc01YTaGOEp7LNkXmEMQa
sbQimEtyACvIonZ4cBq68+KoHJq172d0Ho3syeeiLreqqqletzv9IR7siuqhLnkbycQbxx5PFfZf
mpL2ru9XGCygRp4d6J4lJWdyz5dMlqEX2r43e/GnawIT1/Nia6qbSX/mtGE3BFmgA84z0jVfg5DF
JcwyJ3DPNd28IBfSDUNPuQuo0DoPUjaU36VUDg4gE9lStdoRYNYHoBD3Wpl0C62m2Ui/utwOrgmn
Irc/JVAr6L68HjoYSV5i6fkF5gbTm9brb6UeuTcuuOpUwBs40d/XbqkzIRQOs4pWnsL/pvku3STC
tK8jVTgM0DaUYYR+wSlaam+amjlDkLH9EZZCru+SMkM8TWX1NA8KpMHYGuYDtAh3Hbnz+MHGw3+c
OMV3eHB1MgIwgWioS9foBF+1RUOkCojh2VKU3JyBz9A5CxKJA6sghoJoME8m36FNzBIBR41evJYG
GFrFRQO8uYo3WeTb8FnT8E109UNl4LrFxt3s0sKAtNjwuDnXMkhOKqntJW+VdvuCN4bnBqFB+lJO
j9Yo0zUptlNapK/KyL7omLq2PX7YRIQJanei0+CWDwcN3ouosVYWoM4I9rXzNa2q7LOf6u6KDYge
DaaAczgn4V45wXC0xZ+ETE3bthY1VAkICnI+pmaFvKXmgS36lG0FF1JA5G2iZS0KMF9ECG2+AQ0j
PEDOOoaTOuMgPCVzpC6BTfCQIC/1mDG9R+u5lFgtRa8xMmZ/nYEYBNu64aXkh2mL57tYY3tFMAes
4EE0SR6DiYnWrwPr5LSd9WhBYz72LKQ2raDJytZ+lmBRfOomOKasymv6A9ucWo8uhSgx8dHA1koZ
oxz3fqrUDm/O0UnanY6lETAPnsWez/S0HnJJoSUkzSNuRCAhRjyeakA/HhIXtoi5gEWyVGRsYwgn
xDtkXa+zhA7HeR73FlG6SmeGmK3eYY8DoYKYY3rw2W1ufQJpFB6UhbYOCdJtioa2qjCo3LsuS2uH
ri1+1UTSiF0E6bEcZ9AcmgguqSbRfuCQkHKIjd8O8L1fyp7LJybgGOIOmZwk94uDmZcaynAnnxbZ
nLNSEuyw8jo8120cUhBRUdLF0PYphOAJLUoCi1Q9/TXxs+KJas9jFZ+azIcRrft/9JG7z5yo1ksA
vkbaSxWDsjGmnm5aAjp7DWfqYTQ69wK3zn12/Lj18qACcAKGzOvt3Nw0pnA8aZdnQPQC3b/wlE54
y7R4RerZU9yPCXNCXn8IRbEssAx/bfHEPzSmsR+TWTvqhEM2NOi2D63bNkdW80+SDJ8EKL8yrPqh
MH5V+njpsP/MJrWFrXpPwuGaD7rYJ+H47GDnD7SMsvB6Dwh/uZZwafmi6NeMhr/qwL1nmesZffRR
s9hYpzU524D45FM8dtnebenE4prJz1YyGHyO6+LgOlCkZZgdg9GaT4q80QYKYrrPEmdnTURxgdql
eMTz6DC0abAz++5ZN3N4gRM0aoPKMG/utQqhgTH8APRK7WdW5Z+mERfnpLNxMMAYJKzRcUYa6H0h
nV+ebFN9F7iUWBSJ7Z/GlIIDzQ2avSt46a/yKrbPUWD4K2e0vSW3fqjTBBnfPoguPAnsFLOZVZuS
NNBrSeP8Wbds85WU0pImQ8DYSINQ+Q6HOvXECXWD3dqBu0YEPirftMFNPcfkiTIrYJ/gFssTyez+
ubRxukp9FU/0HTs9bgojPrZZ9ZWDMrpQOa7RJ+To2GwcedRLx6tqkW1ZMZWHBVa4rpDxPCOppwvh
nd6jaUqHzMzXExQd+3c7H6070HuEkdhxbmMHPtrXe/hgtkt6OS03PbSdrQI92+GW4cwr7iZ25Cdw
jA0vnNEFHILr28DHpuptKx1jN0Q5jMVB558elDgWhMHdDJoWBKuylueMkIqnSgWdf/KdM3rMJYho
g5/Fl2WSQ21m++i6z6OeeGRlblOUHmDl/qEY/WsCNmOu9LJgEDcqLIJ0EVb7RuAR49rU1oNMRy82
NEDbuDCRxnqiGbAc9txc+0TIvbAbb7B6DwlzsWZke4fgaB7Y1DW0/hfU6ActR/Bp7HkvNXGSUJ5W
zFpbXMbvLPWxZY0mxKWK64AQgj49mH743pnGDABYeyNMK69ZPLYfRMXLPf+dzAFji80D4oDcDgOZ
8P0zZbyXwqy8Mh71tU1b9RmrE2kgadw5wAk76JV8M82MKpZQUTM3iTfaxF0vVg5pHypRmKHXNfbL
qWi/Or0xECIhzrl2TSagcwgtZuo7sY2DCnGgJeM6HLKXSkWMlyAxUeHIaHOBU2xSknUyd+hjd610
iMdOWrKJBqhqK3xc7TOP7AacLSYTH93JFe1tqFNGPeJONyA0r3HhLt5Ws/dEqjMvCjZGtiBdaza0
A1eUMFiRkbLKE9bDOKoG5iU1OEkd+54kgmNgbVQgMbEMiJ4KoDN54ROxbhijRf7cxfCf+/zou427
j6h/UbM71l7TQX/uCpG9BFUx3t28PcZzk6xSHhwkc8Y99WIUsZSEXDbpOBWHqG26rZYoEnQiNPZJ
I/pbNffB74DSDtg/5gdP/hd6ItbDDTdXJ6q/NnuulyHi+ScYfQ8hm6FNPvZnqrR4UCsCdfoIls0y
0pi3SXcNkAZXXVeUbya5230ST3gSI+AAG1GW8Spv+9qr4AicDZuNGc8Gf4t2o57ncIjWvj6Pl4Kq
YnaZeNwOSsUdMscYebk7nnFjUu45xCPfKD3YlQbhQNuwJ3dVlWb0itPBeuBzhkV0Ok/Kb84xmWoQ
qjpbr8McG86G/7e5N42lHQxeirRn6hhP9dn+LGe/IWM2PLt+/JwZRbiz4TvuIB4kbxopFq+S9a3D
zbmKI50yIBqLPc3Xuk3APc+c3EPtDC2LKbx8UjqpZHIBm2m2SX3p5IAPGITLdTUM70BGMBFxih8U
5LJLSgG0FyymCVIJSVmRFON7th9G0znbQbmU4NqYZDwZ8+soFu+9MA/ZUFXyr82qC2TiZNxyFY+P
cRNUwsPiwnNYtwc2qVTbGEbwK5llcm4w0x6Bb47lpoE0FK00aBvEHeju3A1JmPyu44HYcGLKbcGk
yUCVdDBtuZGjWa+p5rFLQ+NcwCx8caXdU/mlphNt0tqbj/UA8D1Pj02zWASRgXELGj/OwbTIMB80
jGTAq8S+HwTuZDvAbQgRCufhOCk8hIsd0Q8abKOLRVGHZnjmLW+8oanLg2hV9U2EgtHRt5rzsJgc
c83UH41cBldqlM1dFcKhJ7PJACQWY2Tw45HscRid9b71aoY/Gu1wUMZsKc7UqhrP3WKwBDhmvHDw
E5fFtbjrf5yYi4+AXqcMf+b449VMK9o/efyXXH3gWyarwgwoq45NWLH4PB3FeUHX85C8GsK5dKAD
WGYO+S2uqHgWo/XluyBBdFMUoWc4pv/XX/yjjCHvMRyPpRXn0eiaF8NNeq9fFl44mPfAC8ttwux8
Gkedjyu4m7Wj8n5PECX/oHkTg2oJZAakCu75gkhgsNhXISXMN73rMRjpKcjACRPYlh4ovAJ0cawN
BUc4K2zimnH54CQQZctqtMmLt6/9hEVWN+pfkSAOVEdZvksMqR7mxUVL+XT12wqWPjUdn+7OlB1p
3c4yQW3ApKN7+yUkGnggisu404GscbrTGMUxBx7e4cmwvyPG/8X42noL74CTYKTztl+MvRA3uExQ
n0cPeT0/q9m/dfZ8U4FyH0PboSFucQUXrfGZE3ZZ1biqLuNiGa7j2TxR5qx9YEsgmlm4vzGGOntF
thaKs2Otp544Yf4P57GP/2TsDYHxGmJQaRxJDOSv8eJVNgQfv9zWgiO2aAopKHvcMLw/thEaPz5T
fWtX7VkwqIOX68EIsJXc9NgEDkmTaw8A21yWGNZLiKbu5UmGvFITgAs11ZM7iFnh13zxablQ564Q
VfSzgHu8IscQH4UT8ChOEpfNkEpoBRifhAHuEoqoDcmS9Lbhu8/T2C7sxvxZ54eIaNmwrXvb3Ywt
iOI0fpggGGKEAccyUutIfC4RyPWyI1il8rrdGkw4nIU/3vD2xyc+EJk6uYXZhmwBcJcXME7YVysO
ZLE40Ceywn8LLF6eVoSQLUU98+2VzaHgY0iDYVlQJDwn5bZcTO6w+v1bvRjfp1Y5F8dt03VSxq8y
UI+qiaEGW+6HisUppS7QYdu9syTY5noyH13mohMda+u6irwoq9+mLr7LvmDR2pQUrhT4P5JHv+lD
j0IP97kGqbY2Fn++qRf1CbJb6/WwFd6kEas94QhGmsXb39ZkX2fKA6qwxBC/JACy1l0F3eO4JAOI
EMTHeEkLZKCu/XVql4zdbc3uBbB2tQ4g2YifsAH0ayxIZXsMesvxRiIJ4iecYElyWs6EJAgLVIOH
/ZNjyKgDhjdu6awcgR2bVUbkwXYy402vQoIQ9pKJcJZ0hPgJSpRLZoLfND7mzvTaOqyoUs3YFpxv
F/cnbaFRVvhJ+g03ioqHx2iY+wOFQCQ0YPXoS7OQ9sK73zwDN5RvROT69ciOPaQBOGyunAukPoLO
Sn8DD+k/Q7vlXcfSwO0RhRLcMSfi7vjWwsjq3iSO6Wv/ky2ZaNgr0JiG8MHHYA6k/CeJAg/QfSES
2RygHZBUyZbQyqATX+lCQf9Fik8UVhQhSTaZS9alLoz0GsglAWP+pGHoSCQZY5OXLymLsqPXDuzX
ATmKMY5ezWjLi9ra2x0VISusXSRubJy5a3eJ4YAu/gwzU1u3E82+3ZLVqaIi9vTK+EwZ+BDcZhZW
gDpZiQAbdk79P2I//4gALWmgCYYGI6Uu7znpfkwaP8EhzVTNHxO7kr1ulmRRifPjb8xAvp17Sx2c
JYGEyjo+dEsqSfZowuA8W3rPU/nY/cSXQngoVDLZfPeIIZt7TfNr9KcQ9oyD7MOmK6chyaQkb8lG
5UtKyl7yUvpYP6kf80Xqi5xsEI6MePFmQIQcn9mshdsKD9lMdFKnxW+xc1B8ibVj+rF52GoMPVv4
8g/95i2IoMUR0izeEGNxiRiLX4Q0jnlNf0wk9o+hZMBaAriNqZKMqW6ShNYX/wmK4q5aHCnB7HyA
Xgy2zuJW4YNfbWbN7Q5Atoyr3ocfbrP0wETMtATH+3dM0x1u2aDaEMi+dWGfekaZwRPQ5474gzGt
VZvNXjXdsUomDX5k0ygeUARBvXSVeA3KyqMItt65NHu/5T24tDEo6g1e+4FaamGv/BRSUg7RCWsU
0Xgg4tvG1Pwn7Kic9Z36PfptOG3inO5O3e3rS+yw/BpZgT1RhpWkqziX1gti07wNw9h/HPIh2raj
Nr77rfhKZ5YOietb17yuszfMmJyI0B2w17rRY0crwK6XKs3WtVth4kVFUfM6nmE2RqwleXUkcfwS
dkTgbAPBByt5FPRrguvRSbpkvXmWWgKiN3eyBF8HGnNcQI8ClEjX7yzYzh0wcVS16DBZ2KH5sNib
5aa2eXiQ5qHfsMQQQMCi0t/GrqR7q4NxbrV9ugiz+BUj6FCFLF94mTGltFa9c2AkXGLq7re45ReD
qvEb/c0/MYjEZ7rRwIVWPGimKFMniU93TZyUiD7a3yWlqPSXTeY1C/RhSy0xrkFgzhAJyvpUziLa
Jl2jP4WD0e8QGVhztuVAwJ6ppdrRa+M/h/2oHlhX8qXEiIJ2lVsnpGlx418VWicx2vJCGaxco67l
1O/OtoGNonTmM6Ui9vdEJCXdob7wBkR1G49D7YLhtmY+PexSX4LZ6q5mV960YPZytnmXamzVwUpt
gMw6BrxTkAcs4yqodPyCuu+2cSkSKBDFdzUoka8GhaRiF2b3N8U6sG1pi9tDjeHPK5rS2AkGhZOl
E53PpvYj6bHxbNwe2BBe/jx64/sLAriKdyNLBK4udPVVQCcROonvqbi56xYZcsJJMKkHAcwB0/lP
DA79TvcgjwExm80Om2ACdAaKeX+a5pGSTrDH7+1kTiB1uR/LCnoJcZ6l3rA42bnEvFwqyWWDZs78
D4Etemorp2JdHDfm1QxYBLSFDs3J3UYDn99MTq8ilcnfmYDbS4PL+S8KnHuWnThGXWwCysBmyLbI
GOqcs1CkZA204k6l5XQtREW2P88piyZO5OkJRJ/BXYD0o9/j8yZmySqYmeGTHSgvD6MyrwERVgzO
I0wKB+wrwv94wJoI278BD3kKsogf7bhFYKKBd5O3Grj0sf7thswb4I16/cT2mdumj2X86bOs5JkA
qmhHPj6GkiVdvkFd9YvF0HsUzn+G0U25xlX9ahpheogqSRCF6zS6C96fv9pJR9bpsC7vYT86K94a
Da8pPcUdwJvFC9yoXzjo+SNtnPPazx11bbMMuhDwVoAL+H7XbPpIpDbB4s4vBzwZ+AB9cJRDq5Ge
NNc/D5yEtcR2tutHFC+B17wgdR0HZLQdzQDiEWrOTqtG47Gw9P5MN7J5bDmPnjB5aEBCyDEwtI83
iPfW3mjb4B7SZvBaJQAy4UtAlMLnh5lDs/pd0y37cS2pxUNsDOyddIhVCF5tsx5qcnmRxExkB9wE
EQGljOQlXdJiCDwKm4yz3qUwBnNQ9qt8VkbpFbA9PVWpHMhn8x2LCH4i4ZNu1cTYGeqEwlvDFC82
u/11pAt3pzhNN+i72VlLjZvEf7xtIBKvDDnbD1NdFbz3x/EP/LqqXzXOsDCh/KHmiQTrGGZH9oRI
S/2BZo03BGz1x3DC/KRNCl0t13vs5PY0r4Mg7eg2Cx0aS1EZJ7O9N+yhEwK89XwxwbhvcdLUO65S
/C7R1F07I3siJZ2cR2auPV5Q07MG5w32Qki5XBUt3X1j/EoXQ34b+hF3p95Z8RvZUTQCzZkxN0V9
SZRkvtR8IOjf8+m4gwdKgjUhCTaER5lFrCN9h+gauJ0SwIYHMMfZg5LID+wy+vUclRk/EeNwFCXG
mTmu2W/WNvkh35ngPeQ1rg/TNH9pynxyav/VHcvhFtZB7tH0mLAQomQzG2B6ZmP8GKITRrih9qSX
+Plx3ek0xSWb13TMHxKsx+u8Tg4m4+wjiC/2BjyiwKVnJEp4PJmXEmT8nr3fp9OUL5Y+nQLqbpjE
5DGvMkQb3Qm6feyP+p2CX3vbkNjYScvKXkVH7eGqRZM+kKY4ikJ1J3YCeEIsSYOzMCqK0fiHomOm
XfFMJvRYI1QDh6agkiMdwADx53QbAEFdGHbYOooO245eUeSatCwAxm4y9KXoHB6ipaePHNM9IDSL
Nl9ujmKLJqmfOqP/KmvBrqcJ5N6PBlZ7UPDKB84tiX3enI74CSzU6WB86dtgpFvcH/Zu58xPWCzT
zRz5rKRckT9VDBdPZKMMCvCy8n1Ke2CQIe2qJ2hqzTp0hfOtRtN/68FPr8KZRykbaaD0/ORDwERe
cn/lUTpRhViwNQgLzUtyIwFBKsNDPIC7yELbeBSRih7MvGFRPodpjdvfbG/sBsLPdEBPBvuZW2uT
RSR2B6FOYPGtu0iGkfNsbtgajhIG1eTW6ykZU3xbEXqCtNzPynetI4NK8MmScAHwLKsos4ofIx7h
GQ+BTh6d9r6sgn7pPq4sYOx6+07TovHGdiN6x582X9lt0Ijq+tpmrt34K9Qs8TSNCuXAL9IXP/bD
DbIAz/tcW8Bnpf0sdaFTiVlJmhlV+ARukmKckhTSsQ3j5LsQZv+cc70izEz+tXIrKfFOpPjI29ja
aLHvH7vMNLdVw13D4znXb1T+Du+sWdQFySol2+GQNwS02lxRDKznrOMBrhVT8pwU2p+4qZ2tqrk/
YXofw2AkvGPK+hpUo/iQlFBueDnjwMgLmFKWHWkYg+oMi81sHEDQaMDGtP5pJoDGfn7oai/N7XI7
1ywyytgd6BAxxLcRO/4Jh06Zr4CLgi2efMLYiuFgixjnY2vn53Coac1ejTz1V4PNtgA1ynga4MQ+
xS5srgAjwEvuR8/crsw8krc016+5rzNQdXIIkxOQqfFVDfD7oDAjPGkppnODsdZjRk5+uXE5sYzW
/PDeWzY7NzeNB9YO7LdnfDUcUZGWbG3dtE6NQTFaDleSskHUu6YlIOjy5Fy7MahK1J3pmW1Yu5fS
Xtx9y+691LvmG3PNRE1EIJ/nSsyHHiDVmu9bs/pP8s6kx26kzc5/peCFV2aBDDI4wO1vcech50mZ
uSFyEucxGJx+vR/qUzVKhe4yetFGG94UIKgkZd68l/HGec95Dpeu4FRntBP0rOjXfFSbVecUA/KJ
8tAVJtegIgPZnLclG+xivOqT7raYrQ5nHB3kOgj9HW4yZs4oMfYlq5t71Y81N2YlD6ZD381a+dAd
VhO79+80VEpOirl8zGJeA1CgNqg0tzpW/RBetalur51QZaeYaDtXeIyCcNwdn5fc+uKBY1z24aS6
LSlkH44+tTPd6n/gFUvTVOS0HvWDBInoV1+yqcLtEi99ybspYoWCZfjRzdl/SNxXN30Zpq9ZoPor
abN0QafFDJv1ZFdgz5e3/ylO+P1XdfVWfKl/+cX5/o9ff/lfpF3OMW2s4/++E56c5NtH/Jb/m174
f/7hf5rhveB30/Sl7YlAgPR1FoP9TzO8/F3i3oLZwfva8oLld36a4W37d4GUTAAVj7gQAo7Jbz/t
8Lb5O2EUdwmzWtL78Vv/+BcI9dFXdfPP4kZewV9+/Vupi5sqKTv1v/6bsBc8+p8LHilRpiyODxAq
MY5WBwLLnyuGhZezxPYXG2oYlpvEU3jIVUAmBjxP8+F0drtNzTh4GghR7l2DFE7hhB1hYNoOWWOI
T5P3OqVt2MyxdV0DJS32Dg/IV9a/aLGzWzNKd1nz0XQEl0A3KmCiU3SFSD9SOxobu0qXUUyksWs/
AzCQ+zFW3h1BIVC4sQmeMURpp/DEceNdbxS7KdCX7FpzLjAoAHpwO2KTEesU/E2TRZA1qQPMq3gH
6iDSzywOg8/McDWIwngK960R6p1dwndY52k+fkaUeLxiS9WnWaViI92x289YdA6cTNOec5wWsLHR
G+KISFaJf41/fdhOLJgPFQRAbv1klobGMQ/g3+abwcUCHKRjDNnNdif0rjKdKQVO6scet8MXdUPu
ZWca9qnx9cOszOAbN0z/xvYaB8CD7BNe1SqEtpBwVWPb1bbeFtYUPsipSHskuYnGhUpkz4ok2MmG
fU+NqfhowwK3aZYkF0nMMi/xfHWfc+9lgFIePc6zKeHSegnGOAzkVIb55yYhdhkx5bzXY8/qelTS
+N7D4rssqJF+rlJRXPID5/uUHcUe0PgiaTpXg2S9siEgX7GXBHsXmv73kc7ojevGKPB5Tw9Tk9XE
0nP7Yyjo31jNOe580sKUWniuwwtllPdkuajQRGTAkKLNZxYUhLjcvDkEKHMbcBHWpR3H6lCLpNkM
NtguP1q8SRH0LxgGPTDQwU7P0gif/BYTDRDjgjGQGq5eEcjs5th+GSfAclr4uLodr1gs4ClF6j6M
UtbcCLSCmLQXKu6pntiIAZJfIeMvwUsSrpKyllcWoIijZgDkh25ewLErLoZqDj5xmESPY29FGrxG
8TSNIj/5QBMf6CnhujqOQXOBhVHDgTPFrWpsClzgU7IOrxzEcqfV9adiKAgWUyss7Xqn61RczTZG
oHRwxysgcgshX/CuTSjje4RbJpoNWYl5ZxS8ZkFKVM9oS/06y7g6UxRe32Gq887M6P5uGigGAyXx
2TiLP0m1+3ryvKesZsTMoCTAuwCC0U7pZpBZvEciLh8tUh1XJBZRfKXR420BZBivmjiNrrhzRzf2
bDkbkDxsRSZr5qJaAoPbK3sJoIfmtNbcotce7sUPf86AFgQUjB9IDjg7rtw+C4fsZtbVh4I8j1uB
gkZz2AizMxZ6zCXtz/XBb3A0Bqb7EDfGJrJKgeU5heUtYpLsf3pW/3wM/vmxt3Cl/vrUY3bmOW1J
okDOX3uAsct6jDc8DiDKi3jVk6FnYMdiHfN2LOuLEdvYeijw5avyOUdgjLdkC9srB3kIMSTEEQ/C
cfgeFjGI1LjMz0G/WEwTYWQXVWSXz1WTtwSUh8TesoAjbdl1LX6djrXCXfDj85z9+GzbqKaQMPhc
uEfADPZpkBPOr6GHs7FFA85e//5bxyb+l+/dsok5cvKQ4KGYwzT/8sSfjM7BFRGBOJbRfQARHk6d
fW/446u5gKqsKtNrSTCFditNHMHgZ4wfdwTT1rQ1axsjIkO8pYKdWX2aw3GfCjls2jTvv1i6RXSL
j9PRa4aDM5Jot+dmXAvdvvqqA87Rgv4ouQzQsLfOsuSjacAK894qcKT4LB/MAE7NlOvFUxyfBGMp
MyCVzdCfCOdQU29TvpCZHQvoTKzDAcdp72JakMFYsFgbgtfKz8rXqTfBCLgsIkRh6yuqh5qrnNKO
XTxYxb7qBu+ZavHw6BZ2eDMVSX/HLwFHzDp5BqaOl7cfiB4HHc1uhSv3g67nfeUCkhJEFo9R7INs
GYiO7KJORPdTbqQUqM0RQBbFDttOs3iXOYG1bwcJSpVDdptTYU+JFs/IbavC9qkTBIgiLiJPlCIG
G8KoznfXpKCd4pDszO0UvlAt03MtATqutRLyyeikuA5m37i31SAQjAJKrKBjVl84t8cn16iob/Kq
8oYETnvjs+M4mXNhHWzLiS9gu8L06Z1jwe6o6+Mlfd126AZqBB2rrfFWDMNwOw5FdsX2hIKyBduC
zIeVI4cmuUmnpr3XIqdxVsxAAcldvTu1HT5UoVNBKckf4y7Fet/NkhVIp+bitTDr4XK2BUtvWkJw
B6rxXEa+e1Gwn935bp5ceOCmaTqkYWnXWumEXakg1W22fX3hkR+9VsZQ37oem4I9rR/TAYRzvpGO
DbOrHTSy5ZzdaCoXLuET0vzE3QAYuV2f0C5ZsC5PkbwJGVfAq7nIf1V5zWL7fgHGN0Ne7I1ouhyV
a+xR1Km/5ZigyCLDlswzK3J5elEbAgQhsmKuBIbx3V+ecP3yrMtbsmNDS9sG9wUYMTnsjh8PRv3j
IcmTwsG/wpOzXZ6hfhvznMkTMfMgiE0KqZfnLcns8nFcnsGtcMZTCSGcu5tgk1CGsGwEmK/zTBjx
jmBrdZ5NS79KrtobAI/eJjNasSOrz8GQLmcEWi3la7kFoIzbznjVRFliHDwxlwl3xuUIMoOa60Zg
TN2wgZHqPUxmJa9VnTvhhn0XKNw2Jv7iV1Ym98qkls3o6XVVyzmp2Udv0h8naFlH/vtQp5Kjgve0
zTmV1GcuxnBSahxrhwqs5D5knZ1s2h9H+mwqfrAs2uMN67ges2vjUTGj+BF5P6aGaRkgSMJ/n5eR
wv8xXGQ0arMz8+QmXuYOmGCrMIihKxXoh6xMfB+mkh7PRW5hfg2M8RhKxBcEmGJfM/pser9Ij6nW
IE0gBZB86wNnXY4VZNQgz7JLCRf2aHdVd5lGhfgWQ++66pT078rJCun6UbHaCXBqX81ci5sxHyRw
ed3fJFS2PBqESO9DtDq1iUztHTvKQrHNYOjZFKaTXBOGGrBO4Gy7cg1bH1psipfMdBOauSO48jLb
y5tiquNTHdbFVQfxA9jY4LXvY9s/my6tC6QjpnhNHlzi4fKtvT/28YMX8Y2n3BqOrVEj18ap2z9E
gc/GpFbSxqDvGDdyhvnusXi7L9LKvRkDH+i3x9FlEWZ6qLkEA98xyfPYRoLVtMDXzP6u9/HvWzW4
/2BM1aVbl9HWxdSH3TMx30mt6Q+7Kmte4zlLiPnzQdtR8odp0YU3vGB4eBknL4Fkk/KKr3PklxMe
n+w8tL5xCsDtHbDNwfTxDJzpTgKqrm7c6DbBE/5ijf7NHHXjg52jcoyVgT6I6HBCr2LpOVCndhtP
IntNbQxKdBpKe0X7cfceSUxete7U1vSguwdVFu75X95N2iW2fEVy20EXO4s64M1Ps2POUW4mtwb9
JavSziu1wglAUyXBDOdmifGFWUpi3KUlAs8eHqv5yxSGMbJ7IIHKM9EG1GWmFd2hXbOVYC2fK5U5
p35SmnhrArzN8vR2SDBJVCkoBk/AX6WLmuWdz8C+xQtASjJwT4HpfC+G4B1EhL3nAKO9JQgr+Kyt
9Pm0k1hblWkT3bEUnvY8eRisw8x8oiuewoqqeKJKRDw7jaUPvc7rbwQF0m+hMtuvjM/7JjBSfF/d
/FoG5pMNT4o1YSrdo3SqS+HSf0w2maGfNJ/GtLdlITjT15rTabA1iSjCNwvIxp7b2qmPvttx7obE
0gI7tw9zV6dbiy3KS2LwPiUoBht3MPSmjt3wQ7SJs49cPx1wPS5j/VzSMDWMel6PMSh/HVMsQwZ5
55LFukjaIjnXk4imsy6N6g5NSzzgjIEJlVRj99VnNeOinSn/omxKnjZ9ZKf3LCuwg8/LiiBlCbzz
cN/u28oGmZ7WZEiNENDixqOPlr8VRzKVi+SzvLo9iaQkRuArvvc+D4+D9tPz4opePC71j9xpvnW4
jlxnLhWBZAPnLZZdta9DYAwiBFnUGNl0HINAoF/z749m7tEyDa+QuN0UgGIpp50EcrizLe29xk1i
7TFFUyNFQEaTu5r41LaT6XINjdNuVVcKfV29BKG+nD3ze9nRENhbofXW9YZ3HTR4gbz6QSETRSuB
qHQnyA4WLAaS+TO1Zz4Gsf9UdCVDteZsn0VpbYa+Hfa+2ZDRiO1xby4ZHVib5hNCMgZ1NKYYAzGb
5KTCRhY5or6tvbAQ+GUC3t956XcPyBPzg1trAIrwzzWBTExn1FT1q4rv+Ya+H3GZcmXHcIeBwHYi
wTI5gRyB08Qv94EXGPeSo/rGtsoBmvl7CHqoHOqRZVo0xy4OtwnMKHQQzETlZYH9CbwFASwFHYUw
bbonBNHwFKEgR4LY2hTyk/BUngJWBRexMibWPUPgWRtqTC66IZ1pWcFkJBC9TP3sZ68wsaeYVCU5
cfg2Iv2eyugqy4py57e1eevJsHnh/cXh5U7d9TBDEqIAu37G5Tiw6aGOSbKMMtjc84mGZKaGRxfU
40toQjZyU7pvOlM5R7qE0hMnQUyTJXgMP07x2YQ5bntDMVSkEbjXlKY3j9IoDVH0Nklr945cwLQk
92cWNFFxbCkCXc+p62DVzmSOYxlVm/PUG5+Rl11aFhCk15UJXJOcREEmZmq2gLsRRVnM3gvqvffS
qAhk5Z6zG/F4HpxKcpGNmWThzUzbPrHGAzOkyYa18kHRtLYZ3kh4Xkfi6+OOrZSzzXD3PrY0Au0x
l0gsAZqYuNMGhyjPY29VJZNFI6tJVEgWYtNEBWVGdZc+UyciYbaOUbQmSErIl4foSlWQSfrlwEVg
b/aWlT3C8qtPmaP0PgtrBrIMzwJGfe78jus8BG2ptrOuq1PKM4MV24QxXSb09q47qNzumpwzn0C4
8jywZ+xQBD35ZPGlVOsuKPgTfQecaApL+2mCv782nMUBG5X2AeZXvQdxD7aoc2Gd6qQ4lJhIGRio
2oYGSTKM5oV6MwxwS6OM4IbOwrOwQuhn7NTLIH6XCDNpZh5xb6ysODy3RQjfLBvtLb1jz12BsYKW
cZKTcp5OKHxgcNvgjnv5WgT5wGtbwOF2jbC4jBffYjH0HgVAWBGSURIVxKDD3dzP8nPsS4+XILSO
Q1tZn7PuUwYGVX6H/D+u3MFPjgDqjTWSugUHJ+wqel/S7FPkVfYC1Iweg4Zi+Ds8RMEle9/8hrtK
d3ZwZNAX56IsSVfZTyk71zUeSGir7mI8q/PqnBokkMiZpIca9/yB1Ei+d/q2uShZ/RwU2baaBSI7
cI+tgxPMLIZTa88nzH7suK7ddAbLp7L32m1SoH3EgbmyzMhedWl2roQ8jeow+byeugxeVKPXaRP7
d6LsA/ieXvrkUmhDz2GeX3iJ8jUypCRqjE3Hdgf9T4LLv69+/ltXYXZ+vsCRGECVAFTyZ/FzSEsR
ApNkfQ1PbCud1P1oox73USOh+bJ54v6Lryt6IJOMpbjNAFxt4rg22IRn0/uSG2q3uSNjyh/S2VpF
i16JpkMCQAcLcd+KZ8cAW7sonKar8Tz7IwLhVLn+KZEVbmTFDdFY/3+vx9N287e88dNbUejf/vtb
Uf/P385vKi6S9lc8zY8//1OSh0LDesphvrEcB8K3+FdJ3v7dXpZJYGjA1JBh5Q3xhyQvf7fsQFq+
h/xOX8ei1v8hyYvfhedigHYsh5oaFw39LxL830nywBB/EWgMmDme42EqXN6tfyLCUFcWWRoRmeR8
y8oGkh2LKazNrHKT/qp2MrfaLolTILAGq7aVVk62xYLfnKeR+AIVIs0O5IO8cktcc+ZEeilnC3zI
lwSs0YXoUzWNhWRoyGFsGBSJxoQ2BepVNx2LBY+aq3j6hulE7T0uqVvVmPGB5qTmGrNo9i1qQ5YB
9L7ti2VeGiBhnoMIZzT0OoaQZa4qSjr/kFNICxD6e/OX+ctL8EFuwh9jGVVUcuMvs1q2TG09FuZV
9WOUG5aprvox4Hm+5V/MOqJmLl4mQJoZGAZRJcVDt0yI3dQk07mBMneeiPhd1GI0dqFfhSDTnE8n
nWfiji4jp1F2jOCZoOQAJ7+zr5bpFL9QT7yQibVJ+3qDwQXaaNanNAh09sFaZtzMiycQPIFnnlVE
LQq4ix9TMTxs3CZugQe0pZ40JkS6qowhPMvUq9+dbO6RPWpj40eGBc15mcGXaRwKfPYNnaP+FiXw
F8xlave4Enhrky6aU7JM9zOKRIcNLmk/tK3Dk63htOwZgzNzhVwojwO5XficKdlBw4B2ezk7VDbs
Z50H3xFk50M+zhxmSW60Z9eM6jejTjKMK04frI0CcmRi0v8Szil/S1ITdVnTf9JtFersoUSioTTD
tTZzThAJpoC5sV2B04K4gbhDhi4wlvFT2IjWrp+yxOEY84Omjh4RB328gL1oUKJcRTw4B8eOIyzz
o+vC9ewjZY3xjRSMllbdEuau6moQvGwtwPFGx9NNGC39meiHW4e/Uty0fIlvmswgIqPR0dU0EVAh
3QXitWQdsQtBxQkC+UV7jB2DSqzYCr9PtcvXpIpA5szO+K3AeuDt3oZDI+48V4VvPI8zH63a4D+j
JdD1EpluYph7DOIN1vyQBNHGRBS7rYQAFkMyDy+gnnEoCTEnd4mTR98l1VbrkWIzVkAJkVpZWdyc
IdV1HFXDzK0CgIrGeOIb5ifa0fQ2c399tPln5aYyLPu7iS7ARxoTMa7QuVAE12zfNPj80FG/qnt2
zujhpU8FFBMLpXe5qKrN2JOoDyQ58Z0wPN8Blg3ZBmwL7hoMbKO7aPU6jrc5Y+O9nXjZsLJrg61+
J1UptqnVgDoUoza/hqmpjgZuOOzBxUylbxOVHv4rM5Qna/IimoPzILjLx/FDmOiFk1XJD4iD+cFk
vXI3RhJ9XLNynkFZ3PCioKpYfj0+jUYavXGaEkZzse7UE5DpFlEKUoLbBddeFgh2Uqrge51jPLqM
P/ycaNjqlhpDTlY5tQlYUzfQ9XZAiz2wHkSiFrUmVQoIpRUoU5uxM7onZun4PZnT4T0KMYG6FA5e
zcghoCCVceomWdyQQKEcKWqNalg51uS8GjjyucV7NlGrYjari5wfEpCiioxYmGKrAsZ8o1LLWQ9O
8EqPTb1lNnYvMO+UkGGIdCWYOi5wMMpX34lwL5aLjgKSg91YFyLs1h7PngR8S7+2MiuZ1j1DIC15
dnUqbECcG5+JIdl0nggv0tQbD5NLljxu0Ulx8/rhhVQWPIPWMLHDNq2nILjknfnGvil4dG1NiEWp
4K6a89upLJlSxxFKseOXO8qNaaIYpa4fXNkH56LOIfc4TvIBjd85aQZSbvXa3NuLKt9jf9tKBcDF
nqvsIBJDbnJ8A1vCAcOGj3q7rZZneknaftN0jnFySei+5JHKuSHj9N9LVnJriveSK4Pn3mVhutZ1
oIwWrS7sN2QX1J3kOX/TRD1UhrYi6NLrrNnjEXFuXO1kD5Yy4i/LY6xe0YDcb7UvgvOMM+xg0uZz
IJ86wLOJjBO6jTwAUCgrroLsYjf1UKSXkSyGbAupZ36PDBLUaVYkdwWz63EYu1ussMRseVoulaRp
IF44t4Nz1Wbc1yV9Y7d0xSo2hRF85SYwC/xFaipxZnQj8koVf0/TLLrj3hU+iHrEX8O6KniHGMcd
W7VE8SLRvg3ke79x/Wg3ozkDM0ngLgHpBZUYwAPdla7HSjcB03JbjLZ3kbezSwh8Hi761nCuqATy
EI9TKzxFEYbS2YyGYyASun/j2T52Ro9dV1pdt/MoGr+Tniq2SRKyWJ7rGC4nSlN8Jbx+fiOAaLHx
zGZTQO6q5Dq1x/EihrS1hv0JHML0nYvZL/oXoaIU0IOp1zOn2L4PChqpI2j01AaHYba2LKdkeWvX
V7Pv4sqbg0Z82X1VXrHwGLeZogZ1TYfHvGq0rz7CGZ+dNZdi1w+NcZr9WX8VaJZLcLW/B2FF+Mdz
ZLa3ES1P+OWyN8w45ETKQETXURabqO1QRXY4q+z1kvk9au04nAa1p8/eYFnnvmBPGBim3hOwh4nq
VDzpaIRNjokVsWprwvEm9WN3T0YoPSnXb3g1u+aRWk1IAhwnZF0mMsFjpe4G2bI+9UPvQaUBqJF+
QMmCHbDxkVzOxJqvWOiXR9UbeOtnxTLbS13vIuBcff9PGdAv8aBWqvre/WqR+a/pmMEsx2j8t0P6
5u0TeuRb+fnb1Vv01v52eOu/8uSXOf1f/5afo7pNDZDrA4VkJmb79SeUpKAFyFlmeAZlH7oKa8yf
o7rAIrO0AOG6kZhil+qgn5M6v2PawjV5i5NG/NE39B+Y1P9qnZEso7HiBAFGE74Qc2FN/mleT9NO
YKoEmMguBGl13LtOjKNSbOjB2f/91tbyfrkTLN+7hFpp8anzuIbwy1//rQijdFVLFeLJrAgV93fQ
og5IgruyAiwQwJEy5bobvlFQbHgzSeUlMmc/55FYCWqYRzKGbikO/4ev6tebys+vysbXREEd1Y7u
X+7PIX7RwC2acFuTTsHkcyRbyMVAeDt6GqjZozfWgOzSujQrEG+OyNaFgJPCCKmqIx9V3/79FyR+
vOZ/tjPxOvkCmubCGHUCaf7lK8KnWpMuj8KtmnVM1tU5RosVnVVseD3GMQsqaeTX1CJrUibufEqq
EkflLDW6DrPOHJeMCaW8xY6an22Nd5Iz9Fh75a4ecVja5fDqjR9UY2/6riPBVV669N0zbNGFsppK
Bm4i4YFrYBwwcS6AVvBpQ65IB8V4h4W8NDE3BHW6q52SdZpzGWSaRBUsPONuENXdHNKAQl8tSVzI
HNOWJ99m0MEK5OApcsO9bqoL5QrsaSUDwvNiH6eLA5bVu1GeXU9jMx7sEzp2LpxDFjz1uv/GwVsj
OCs4eqN3dLqncNBHf+rhPVV7LgGbQuXMRdHt7JwSL73KWRYBf4PVNMHbDk8yJtcK0icI84tJDvdM
pycbrsCo6LnKuFVqeCwNWNCdgT0MFCodLlw6sNlop73sgQUo+/voDRsftSlHB6urnpGbjlVEVD84
pSC80DwJ4dNGyZXKYkMYkbFMZXVoEVCjXPHy8M9Ab66b4a5q5S0/z1Vq2AfdQdOaiUV6kj5LjmKr
weJ0LUr0KipRE0acAcSeaeIBpSsk6/2tmYICS+4znE1GezXVS31g/EZ1wdZx3rEjvCr1geuXVNNS
mxVcK+DCwXSTtOXBt7jr+N4uKRiuQqWvTGoi7pOOGgqvMC6nhp+cp7NrUg3DnZjHail80ivRhcFN
WDjVR2Q3BNTrmhet6GuEMhKNX0we8a2Yo+otYHB3V7ZcPjShC+M9jI/e4Nx73L8f3YyGaioQ9MtA
q8RK20G0HwaPbmh4YdFTQV0Vne3QS62wnBtkScsB/il1ce9nk96RavTIjc4GYx1NPzR1c2V6wwWU
H0pZaMK1ACOWOr7kwtb2tWyVe9vOvXfXiaLZ/d89/1D4Pug0bSGGdf/4f8hWKjzh/O0JefeWvqku
fiv/fCj+/FM/T0R/EZu8gBgVZxyH3x/alRv8znPYEy62daRyf/H9/KFdmb9bluBADFzByWcvv/XH
iWj/jg+Kw1KSCiXrLeV/RLvyXaSzX4xVFroO4plPdJCT2f/rOVWZ9WiURqd2ZsGmZm/AhAwvRS4Z
phTrxCOd1JSUqLFX7j5IU65mjYtDAV5RVlypNjCiFfgC/wxYmN2yDQzTbYIMNutUQ+7wyDmx7xhk
2axTOAf6IijGZX1g96us8cA8TOw0wK/09byNImkMxJed8FK3Q9uSvy7BuAYKzVbrAryaO6XZy0yg
B2gVI3O09YcUZZ/Vaq8gpcLw4qnuvtPpAgzDC4b92AfsqMHKXzbYs7cUBJO6I9y4hTua3fWibj56
YRq0l49EVM08dN8LEiHPHApQACaxsE6WOqx4Fzkq+gS4m37LaVNoVo0perms/yEfeX0x3oNY13ua
dFtiTV6jX6aJ2ls6hcYXyNrjwDrZpOsL74y5KUoL95FbcvNYg8Ugg5d3hj0T1Yu4RvZIpeGqby0u
POxB6uuitRqKPC0dvNSslKI3s/QBLCfVBBVmyBoOsMbB64bOKV9o2GSP0w2xFa2coDROStmLx7Lo
9bwxaFO1zz6Lb0yyZVVZUB8Zu52u1N+07lIEh65TfANZjtJNFLjgmCjTd7vT2cWMCniTJ63zGVvW
+EgHKwYPYHX0+w1jU2LZh26KhjHQ55IP9VOhynzfc+NgCSQxpnE5bXCgkS+QT7GOuqemqbOIgpEg
AZoyO9Wd5dJWgt1GjU/90FEvUDfxbWaptN2FUxccYgSfvU1py3MajZ5c7Lf4Zult1qPNTV3P33RX
9+3JtQbLWGP1MKydhoQoDqxN0jepek06paJmDZolJegr2eIWZkEGMaUwTfNBNX1K8ZfvTkAQnJQj
nV0vNTPd5NHnHUy+Ir/CEgEI3jC+pJRrXKQJbRqrJGhDvaWRpqh5w04YZ8H7DsGK6F9p71EssNGx
FLHrLSsXlBgTFOPeSQN9oQqHLawa/McMViJlAjH/qlGqolgHfTHfABazczQcTl9NiuyQNK4Nr3Xu
zmNvxu0+Jy+Pxmn55Qt6dHb2PFAwG6tq3Q/srx4oRy54AD3tDsIEhgkWQSCmWzolt0FZuS9BlFo+
ZD9AG+tKG1HNblaTRbFrkaPSiJa91dilkFhivTMrE9Fz4EiasFJ10Z0DbBRjVpxCcRuS5htZRv/d
7X2Hy2CP6cc0+MvTYaLcvfK/aUpDAJXYA8bvznLePJm4JkyAiIaKIh9yBjFstNcN8jQERG6Wp7Z3
YCfNwH7Snd3W+hkAmnrHn0VdYO5N8AlangPpTmSztg/wZyZc06652I3M3ibs7SINn9E9B7mmP4de
CQCczASji7NqjfoSmdskA91IcB/nG6lXgtGiFvjsAp/DfFWFPh9z/F8TlU1mkHEK84Z9qxwjecuM
2oBIGsT559RokHhBZF+UfMJhBFC0+9G6bnXleXBnR9Ocn+JAs6jCkOB8tLpIr/3Jc53zOLtJexXp
qn8FpsK2snTwJJpVQMFOGj3yjqKmmlaQLWm9mcZFaU4vmZ5y3GK+OZD1bRyP1WEk9kgPJSgzr/9I
WwfsNBCb9QSpcFvG40IzSS2tzkVn9e5FlLvzPQ8bWVCa44dvfmr4VwJ2PP+A17QnFdXZc8JoQnNV
53vk8fMC/rA56quM3P93/HukrP20BuPRkARnS+5FFyZk0M/ObgL2vU0iaGG3eDo+wSfFNKFNQAk7
3asJ2kbZ8jEbHEnWrVu07EtSlt3BCyv54Ic44jagYRf2DJ8UR6mu3Kq0is+2TF4jaFIHG1veqhO1
fstJn98T+XfWAlQnOrE07lF0uCIMVFH364GaEgSTIBdbPc39G65T2z0ko13eBJkh4NvNU3+0yk5S
BtTMz10OEWNrVQPASAwh5aEFAp/cm04x4mInFfDUKBfnsY79fEcBgn3MRpC0KzgDNY8jyHufrPW9
6wqa8St9L8WNQI1ldh71Ux6NfnKDF476Jzyocpkbh/I1zYvxUObE/dZ6qJNPV7vxOk5Q4LawWQJk
uD4fvIfI0D0zeSKKjSyK5hWjNo68Tqk2pq4z0kS4CqbXZAwlk3AFnyPvG/xJsp+wMVFbdqPbfja3
XhJyq/M7aIIrx7Dcb4r9GAc35UgmHq2dKAKgmkE43LNOGc/CEPhWNTa2qsDgXlt+v61DgHZh1ukX
NalhMYBWJNhIalL+snwOybnlXnkh8f5ed417p3OSU7bbfKsioBNhVJGyTDva+BIZnhO7hRQ+Kudz
jFMW9XHgg+6uMWr09bRxpgRdl2qssPG+5Ji8d5Fj0EafQ1RhPYYTSiX0nEnEzm9dllC0XbGzYNMj
VUCereJudWSfR1YUVFJaHwExc8vBdVE5a5vgF5lrJnD4Kh71Brux9dtxNcb+J/AKiDLC6qwnMAAG
tg6zS+RhyHJ/vJp5+3yG0MYqXN+MOk6cAxLCK1uBbEknbvdQpbMoNbaiZ/en47w/67HDv8sHQqEo
Jumx6nIQ1UjKd5m08p3sw5zKtCD7KPxEfPfptXrJfVtRnjKpd6OxISvOrpPAx0srosn0L155buUi
zA0E4ulQhQFttmXmXkxpZRiPTpzglguHPqnWfkanAbz0pJ+vGvgFYlvwhiHZy32GgoOwowSMtcR4
rBPDvmqsfk4QbunqoelC28+C1Vd6DGZbfcHfECv8vLBRHTDJx6JQ2M54IvTezh5N/3qegWaugFrC
xZzr4MLsxDTBGdLxO6109glcKLiAsI+79xpeJYNKUE2vpvC6dDORXQrWEA+5BuqIpdG+dHE/rjpT
M4dSDMiedZLhyNW2Sy8tFon2ivQ59y8xuqesaMN1LSofAKsr1BND1JysssASH6qZ2mdddfEpL6SP
o1XQ74d7EH5K1AYAVPKgNf83e2fS3LjRbun/0ntUAAkgASy6F5wpkprnDUIqqTDPY+LX3wdlX7ck
2+X2ojvujegIL77PVTIpgkhknvec52jgT2wfCiukuIvOoX6ceL7drkqphdPKwPsvj30QZXu89Pie
OhY7rJS4bdi6OFXKY1Xn9USaTSc75TZdYuF0MUCl8mpA3MbPx5gahSAq9jNx6DEeQObvqDmvrvq4
DApmkKJWa1LkbArwz6joogZKe8LXWZM9x/n6gqJTXQEykdd+g8EMejnc+kVAu1HJWin4nvQ2ltTE
TDt90zfxqnYHH9kjxOGosTG9sgN7OAC6FsCTQwPkGcu4fZ8M7IpZMkJVbiNq8zA9hpabPQR2XLyL
OhPRddLOtWLBMO+OYgxQ+HK6Nn1ho+Bfq35UUJTKstEXIF/IPXHiCLI18j5DKlXFAitlb6mWiXLY
3ie+ZRBO4hl90RXKP+Rd36+5Ber3jCn3NZ1YYbMySi+9Cuk+vhOV7t0LAvJbQW3Ze2f2+p3S3AEK
qa094cgi3O1X8XQ1FDHnbN1gu2BVLUHUzG3iLXAt2jiGTHf3eh6oB9xQEL07njEPUHLKdmUlFkyu
INXjhJQBDXtsmmmmpt64LVN2ynpi7XUtZRfT4G2taXRxaQpwgMID2gvNfUT8Nd1U2MuweIY83RY0
alXEyMwwiM7oQEoOdmepat9ZxHoAGKXISZ3HDLjP++x7Q3MjhrmhY+JHiC+gzkqFdKSFw1gb2O+L
CMuQqhkIRZhse9asGCnKngbiJgsjLzzthckNLayETQFmelNqx/uQBFs7IjFx3FlZdEy6j9U4GC70
WPYlW9qjBWiuZCSuCDuiI7mMgK8g9W6ASJRYwlJnHQiLvruREN/e5H7iizlpbnYMZQuArjOt3pyn
d2xYzcJxie7btzrPm+kMeqp/lXjsCegWYdJAWJbskTjCH9f8mVtAHV9G0H+N1qtLsD9Z33NSSWHp
qIhGnKqqTuEEqe+iLEiTr4RRZpi8YzNH1mJIEV64g9PJC8n4Y9jFDYAIJq35VesklXak5TMubxUg
Q/oyqBwzKU6ZwmhvQzaKH6OgrLOdXftKwep3VfOcTUp/8aI4geqryBQ+JzLAHumMGILZJLUm3WgY
qPDHMnpq2GbWYxUtDaEY64C3E/qzKfuGrrSWaMOy8kux8iNbeXhkC/I0iWt0ZxAjKLITDAp3eAGT
bYtjGtWR4p2bMG+zbK8iGeubsC6pMMutLohPhUX8YUkQpGgRaUWzqbQQhHkbQB5RmenhNqiLsduU
scuzC0Mnmh8towrqedQKAtY8GbJkrRGgaJ7GhO02YD2VnaiBJfsMX97GOIzw65ZnuU6Pyc4n10k/
sZ054T0PKXBa1jjTozt9YPg1MO62UOaaPruDe2rFrwb3cHEVdK1a5bKMYBegknG0a2QPadDznmI2
d9gVVQsusuHXoWm3jtS0MwLX6Q9E/SdCA77tWIsJg/fGESTwCcbU2iHKkicvxnEHCrUMLsOk5Jlo
+eWzZo5MHlN9oq4sgJ5cIbRiRYVLk3oD/oLJ7OMtyElyBHAWqoNomTfyjdL8H1PEXg9sNTWKKySG
Ply0aai+A601TQQ6A7NbovfNGQ6V7gbOKOkdGZCbE7bK9r1ZaRZu9vS6CwgYwO9rkgOVKvTsIJWQ
dYSlYctloAX9a+O4pNgN3dXnJmTS9oT3OddASYUUuWx6FdwDlw+4Hu4U26RLAuNCSUBfJ0/PKUnj
p0G8WrSgaCsSQl5OwUw4GkuSaON2ZOr/VrH0R+uxEs1dYzDKhyde1i8Z7vy9RlXWMqUMlBxOSvcx
XgED2zrhr3Q1ZTYKYRqY1wDKrG1UxhnVlEqfXk2Dj0MOsj7wvWxv+eS9neWRkCC06hjFGovEvgSK
9BI0aJYUBbYPqKZtvDViA7S+aTh7jIGKTnfXSJ8Cuu8wH8OAmQG6hp7ha7ZLLCFVrKXnXteRLYNg
k3kbjV/sngGjd3DlBBhmTKi8pRQF/8eq5LC/amraNlatHVErO0WxDkgPdZ8Vu/Lk+v+tuvkpHv9f
JA9PPJ1Ryt/n4Y8vSRO+vA3v7+VH6XKOtfNzv0uX1jdDzIN2R5oGIyMPGfL3KLwgJG/gubNYUk3v
o3ZpGN8cHX0SqRPriIew+Yd2iRIqZ13TxI+HsMp48N9ol18yodKjY84BHKkbUgomjrPf8OM4zy4G
P6xN2OlyoNIk48lGufYxyOpnuIFYSBx9hQiTL+K62/o8czDJ6veEfvVj0fSP5hA/dSWqWT3NEfa+
27VVexlzk0EmNaIVYkgEHLixlrWdPrbuzDbykkfgKiuvV2cm0i12krmwAr61GOKLD1fjLxKvn2eV
P3851yTtqsMRol9vVqE//nIIKSHYVSrKxyxeGSD6Ev8HvJ5LJpzLf/dKFlfSlkD/DP6ZB7SfXynQ
agMBM7NWjYHTDFQIlTZH1RbswoLVr1/KxHP5SW0mFIuHArVbMum1fk56P/5WuGeGTMN6wGOj/+5w
qCOBnD+0EElB9hh7vy8ClrAegayis8zp6ZjRpQVSj9q1rY+JcYfXfGtFzhN/6zbPs5Nmi2ll2/Vj
oA0HqpBfaJy07JI2TFm81mOmYChhvaSF+6isACcDmIKNb+r4e7pmb7Kic9KE82NRArIKffUi++mp
qqJns3I4GSRMaX/9GRjzlfs08cSmyqDTFlJSZ4j+/vnz5qkX9oomkFXhutsQsdbIRkrDQ/CNOCK9
4pEd/ouGSQ+EGFAzxk9Wn72lmG9+/UZ+vtDnN+IYZItNBuGWcF3jyxtRIQp6FuCFTlvUfkC72J80
59ENGgwyRvo9RU5kP4pFMT3U3XRb2OoKIc7Z4lNLaXkSV2ZHXSvhptGutvirXqY4eM6UsWEbev0P
b3ael398sw7DahYhkna648xzlM+fWg4DX0vaMVwjpWF3xz/v6MOt1es3lSZP+DBvm67Yx57cQa6j
Z1m/10J6fjsLjATm2noid2wgzGF7X04pCosk/F/W1uLX7/NPV5f36THRJo3BrQRFZL4DPngM7KBy
KHR0tFUfpTelS/s2riOGJsN4MVC92vgNoIl4gA8kWzbh9fTMtpkqKUYcbGV+/Wa+ehC+vBf3iwdB
l6WRpk7qr3wKukYaJzkOg0w2ObyLbfOPL/dzTfpyjTy8GsynuFKO+BpUd0w/cSfIByuaIWHEUxmG
fFivumzgW2HdGEFKUZSixbtHMFpWmRNdypDaIz18dhQpkTiG7RAMWYqskT/OPMag8TawBG8naKcH
uALUz/jeSMY3uvIyNoAtgEUmJ0fcYPQXSXyplLUBjAaCSUmVsWb4enA9DxMYKjnj4urI+StgmoBd
tPQAY7UujPbCxgxrZ8xUBOV969acLn99IT4v5pjD+VJIgdOcZxU9WTz3Pn0plKnT6t5yIbAxrycr
AP94PsbuKslOv34h8efbhGEeSgIOMV6IqtLPr2RPSPa5zz1txg400OQ9t42fYg3gJs/s8DeHD/E4
3FjVtG87dW0q8eS72Wyt859r311CdXwL6C/O9WRXpxi42/o0Fun21+/T+vNX8/P7ZGfx8TbRfc/h
FFolJPCQrIxhgzUmXjLpf/R5QKOf99Dlyz4iaBY2Cwhzp3oE6emW1BZO8EcLhhAMvBptPY6VucNq
1p/qps4omRiSHWEQfxtU0jqbMLbedwPk37Jqz/sC+oVVdnArW9D32nwOzj1eWOo9NupJpQiNllho
A7WZGsXgaxA5Ha7G4oEZyIsflmz6y0E9U/lxL7DcrSZ2Dj8yTMDYYgPGVF0VHHJZTJskTO9//Zn9
+UvEbof0HVsrYgs8QT5/ZEnrsd0wc28V2D6IDzpU2n4Zmc6WY+fm1y9l/NVrsedwTJvhM8iN2Uf0
YRUbY73qGrPwVr2YzLOOyRqcEvNQ1pxgIDJYC/qTGGCqUxP8CBwiRoXZAO/0eMAObVGvJmVILopd
Xxqe+oc3N7/251XGYZLOXUukg7vp67YvjXsDGS/xV3GWnqlg49jaYaru/uET+LpTmUFOusci5vAa
hpjH9h8/gVokqN4yDTBih3OvzLhTcKlXvg1tKAqpjWu66yEoy5e0su+YcF3Z1AVghCcNaOUdGNys
xO8T5WunGS+xeIfHVGtJJPmO9Q8bir96p5JyZnv+WqCtfVlc0Eb8lMovf+UybhrjiJQGU2tyiiHx
JtiiMnQ2uu4fXGL1v/6QZm/WpysBNEiQzJCOzVMZy+fnz4i4fjsVQeGjJDt4lJAsYAVmXoHrSlwD
dFtGWfUPL2n81WtKA4yWhaOCBe7LdfEyRXlPYkPUqfxtJkDBiagc8Qo55kpEbO2z7nuY9HfgzV/i
SL6ISTAg0V5bvCnLEOH/3B3zHzE5B6NwllF8++uPxPrTAuwKNtMY/liE5+rq+f1/vHO0ykDmaTXw
gt0Kq/HWt/2NH3O7gI6DvplMgLD4Eg2jINwannWTfG6KmmpN6T/VgAsWJEqvxdD/iHEdZDT8BH1R
AZ2PLkFVbUvCoQu7IJtaFt8lz1tai4NNj6MaFH6ynUprOIsTs1pkcA7U2FWbxG7eVabfdsp6ghu7
wry06etkYwVgsXoTtv+vPwFn3jZ++la4s6UFLwndGxJI2ZdtZR6RKHaNEOGnd25FZl9hAdg5OTP2
shxTUAVtvW7s8FTSXb00fP5NAZIaW1OzboPmuq2Hawt83lLXQM5EiQUVsOYB7+gLN9MfHfADq8wj
hWGY9TFoMPV5isW7GoJNPUhjhuPQVmINqEAMNiG/Qx91b3rTezJEdELrWSUpKIaYp0GMK3DQQTtM
3fQWzuGiTlTndRetet4o6sVFmo7HMY6PSUo0hxz2S9+2K800A+a0w7Zt5anQkm3FGWQ9Uh2AJEsH
jZWTzhnNal1odLVSkUBkNRtXykjGTch01xzpceCPCJyW3+kQuShS2qS9ddS+/8Ol+NOVmL2z3Joc
7eb43JeVoZO5nzuVyX5MLCuKk5xdX+wqhGOouD9faRY2vnLq/vBx/ZaR++P//i8mgPzz1fn839X5
ZczGZjEfhv9eQ7mto7KrXz7pJ3/82G8SiiewNs+qh/5TJvlg//KMb5zuYQxK7hceMR+ii8L6Ztuc
DnnAuVAyTPG/JRSBi1qAmcAq7Qp0RPyy/8IQbckvNytCpCnZTOgWGgrzo69bdoob6G21AFLQXQwT
LGnnzY+7y3o24VQbP7oSclg/hunSpt5nO1FsNQrxwGnsMXNS/dqv5ulyNby1KnIWSZt163aU3Uqj
exaMYJXfJKXeHCjpIdhH4mU19UQfKK69kqWWrAbRg2xoiHgFQXnulGC8m0jNeVv7sfDKaiPZoxaW
/k485tJQOUWmgU3vrBejHCfamxWY5wxGBEuiVj2HRUUCQ/bjrlVKLvgMfV416J+jJt1pU3GkJGsW
fweE2UwGlwFi5yoStrbWK3CnhkktaEme9AAudjorNaJEIeI6hwrH4gynp+oegtOtHiUvdMs/QrVK
sWsx8jpppCbWgFJ8cNU4hcJO4U8WVnedKUTpOrGOpTTGvUgQciZfFSsghwxCKyCKHiwnhT8sto3u
Bx6v83kUA6vDdK7QUXCyluE6rJpkqxo7g2Zc0QuKNLzUUJ9xugXaTlq1cxY24LNrdv9sjT1nD5C7
PNMBUb22Uj3XSOeMWiZkhgGnHNl2/hfWstdOetrJl72+9wbQKRFMBiKFtnWakrrbcCR6j4122Gpe
5VzUOs0pc+pz0SH9khEvIII51BokYQ4txMM3UmWjuHab6a0sfcpHk7G6GFARHs1CPTIwDvFjMOVp
vBgUfKMfrSrp8BZTNz9hZVsmffojyt1k5/yszqG1Vvb89alNVQiC2QGykelnhSP5ApC53+llHR4i
J72NOMs7bROfuTosJfrOEQP8ulklDkzkBnPMCShLej20IaVMWU/9ZuKZ8F5m7ae07hwTK7ETaPap
i6sHvq/e+6jnLUndPDufBNvZrKWOqC+bW1+jW0iNa1mMGU625j6erGTV64Thm9zEkqtZT2k+6rsY
6gcQXiI4LZNaGZvNJmMEfa/PFgg2EGyPvNtpjC9zEwclgQl72YeWXDBjMcmx97pHj3ET+KeYPr16
m00tzDk/ijqoTKiAlqQ8y7A1DV5BkhLkEkByLPJIWWQQHOA7eBG0TX/mA23ekdvBXh6GLGdeswUF
c+po1aXaN63NA/GE+LqJLXcrSqFocW3ujaAZb8CCBmcDSY+d0aIJtpa8M/RYbJOoz+7TGNsDl6pf
D7bqW4YQLYimTmMHU9A15ieiOuLVC84mNUhsCD1H1YWBNXLV+cRryzpfBQWaBAgw71xS7XWFnw+0
EFjK9Th0IMkayZTVNS/02qedzgesIb0huhoMqp1V6XYXejxlBIbl9J3Z9C5qMVDLwSl2rh6zzaYV
4gqHCq4nbeYeUQ6zaYFpLcFaOcteBtTRtHMOVtJqv6PwO2cqmeLQV5ouV96gdQ+q8eRdF3TOrnKV
/0DBsw8C0WH42uvxNrLoIo6dilQzJrY7LyqrY1BgzcN5MonrdDK0cy+rcSwATn4gyPGAVw+cnlQL
usLzXcmhgCOoeO9Lo7+O6BBdaVHTTAuzlw7E+mICT6ktHLyvryAghvcej9qFU5rDmackjVxU8yyZ
ikE7cVKo4FPw4Fppea7V7sHX4HzgimgDuny9PNPx4uIfoasFy6AvuHMjM14BtsCe2ofOgQF4fDlM
fnn0jTa+CAnPQC3pjrjV+m1mtdVDrnd44smVn7fQUyEw42HtIiK5GW4uKjWm+K4H0LWBEztd++F0
NcL1ol4MrA1FTqQx4u6K55C272D5b5BGg1d6a5gGptotdJu5vnRu3RB5e1EkxG5dl2YNM2cDnYsI
S2+YXGPUL67sGNxhRjPQAslaQ84nj2eOrr9SEzlYvrtIyJoN1ajVKptJrJtt9Tqpj6PWUoYOwmzh
ZySle8dkFY7sd4OKoJUnUwPDk3eVYZmMoLxhpyJJaXkNtiS9NNdEzbFDEvNf/+y2hiDCNDP373Wr
4Kk4vwfs0pDMowG+XOuJB7fnbk45OeGtmbxTklAMusQtbDV4M4LhVQuw/80byPpWlO4Pu4lPzMXn
9MDOxbe7Rl286BmtwDtKQPuQliObMGC/7N0ExLQWXzujUZ4QWOL70nPluoLnuAbxfo9fesuAMwXt
atX5Umre0zSxI6288q0Y+ULJJr3tq8RZxqMaVnmqn089YVBm5UuedvFd09Zi32maR/8VV5ocgr8x
+4AO0YylBwXiLRfTa+cUzz2RWD7UCdBmikOIYy7ymZ3k0RlCyGUUVvXJJSC5CExxFRlM+hWAvGWR
94IpZ8NseCKGbXEO2zV9Ut8yFW2pbg0InLYtDr+xeNE1ViHm2Ctf+GvZ2q+KPBRz5beMqOmSvE+O
+mG//V/ZyP5t0O+/63ZXECng+P73e92Lt4h54cet7u8/8ts+13W+Mc9D+SVB8J8Dwd9Gha7xzSK+
Z9mGblG68JOn/Z+5P/HNRjZAyHF0iw23jQz1e8zBcL65jEYYMHoG5FNmj/9mn8u588tRSDKnZIQp
53EalpeZIPLxWB71sqLpBxovxJxKWxYYszhzjpp+Cp06XJPcphWuNPy1B1GYxqQ08480pqUbtJXq
QJ+SsaaZgiq9ni5ZrFclJGEhWgeDLMJHvaUgDZ3UiCAueQXJ24AV2gCsNNRnTMerR5ablNNlQSmM
mYb0Jcf1rst6tjRNF+4qEv0XPFOsdsFsvfdWtmmxjcwIEGFBVha+ZYHDP98LN7UOEUMhyqxKq1n7
uC1PQ1wnFUFiFA6mMqP2TtAJaLE7GN4rxnR3qeuDeyrsODoroNywQ0rYC7M7lg8wI8W4NvAu0r5W
OqAm6qjuwUbAhV31WP/v4zZ9GiY9OkV1dOtTqre0g6zf27GsX7BAhgdLVOG1X7fyRk5WetIjNglj
r81wP4whEVGpfa80jSGWTka6poajyKe1x0e3NoI4xI5C2kGnSPS6zkEs4Uc+ucWYHkTQRuj/IJKC
kpiZLKJrfKdUgBhlOruc1fM4FWzQbZJvZLE1qukjyRZygSnGPEsolZyWjW5iymu6MuTxksLo02Z2
EkksjaRVmhq4uMpxQC0jhujeGcGkX0oF5tzr09Tbz1bJZqHjk75IzDmARW9e81I44VDtByBZB2oe
Rb3QmUNfFG5WMNipXOpWsxq6yGFg+GKSuC9Da8HxgKAfhinvsmE1NZeydSx3kyvS281IRh2yVkYW
3HdpHeTpQKYcbRtBC1zuecDu7jzqtfhZ6zux8Zsh3+axVsy/Up/yZPTcu7Jt7LXduuMxabL+ojWc
lEvp/fSjja7dLsRQ9zfuXLbFA9QUDx1Y0vuiNGroUENtXOFlxlQlmDSuMEgVu46uxV3mWQPz7a5X
D61Oprqyo/iqgZC5NjWa29dxpLD+DfxKtC6kmEVs5ir+kiLe6Dp0OneHK4vKxyQYN7AQs3TpJ7MA
UTrFKRVpi7J1g7WKufzQk5kP74sBe0iRqP68a/mMjcaJn0ayNJd2gffNtsJq4db5RTsa56ZSFMx2
43SVVKnJ/l7jIwNRsqRjuzp5PJCzbWrbLXe1GkP6MmocAYqgU0zVtaindefF9cRDb7RXFqyAd8xB
TyQt6mNcmflpwHhNreEQ85yenGrXNZl1LMA+nuXA37G+Qxm7iBv4CZCz/PxAQ3wN6GMwaOyr9ci5
op2FjXRShy0IxdQ5NZ5RP47CYl9k1CU7VIdczMEu/W7cD65oun1eBTJak1pw1bOlc5FuGhe2Q8MG
/Q2HUyGDJc4kWR5xUNHJwryWLdiDFjDF3YfxnIahK43DeGFaCUXi0ve9Y15U8JZtZUZciiLxFkPn
4F+MaN8yl7rRq7sQY8XK7trswRCjlZ3hOKxwgSZJvKQIqos31NcKY8ESrSdrx+7Shygah23n1ZD2
WOzvu8objobZNufaoOd3aW3b7jIQEtu9m476mwO5e9vADDkBA0k2tAvTsdzGhCVzNZmUeo3qNW98
4ymt0dycurV3I3cRK2xJ31/clvQ9C2pHMH7ZkPRTqyregr4tyL5K/z3WGrVLSP681cPYr3Oh8x82
fFAD4JupbsY0ZdrNbaQZlkuldOMGyzaEbXGtmsrp2bQ0I83YMK+JHcemsWrzGlU0ivHj73wxb5Gz
jnnkKc+cUuyzzoToYYsIsJmRBNNt3FmCKtUQ5zL+d9LkqL5WLbdzQ26/dBsvOY0oEzxeAK+WRsjZ
b+qYnojSL7bKKyYIvzOZLg0u0iZLj/jP4Xdb48hsygo4DfDgWWRDU56BgyRx0Xly2KpxzE4B1aJ3
dlQFx5ZEd7iYLFE+dzW/DoQ+bolFMwCjXjldZR4CDU/1BjsD9mqQpc5sTs8HSqCiTH3X8cXTb5Yo
7xWMO1XdJeV9VM84MC1w7+o5HVsOEY21nims3ADpLLVIQIlfNxQCcwQA0R8efJDpGGC7LiDKxQIf
XTiFXh+GDED9PkaV3g+lsIZTahXDzrTppTUaLTsU8Eh2g08Oko7McVzibcdlM4QtO9yu3TRprb9U
7XRt9ZwFwbz63Y0+JhYFhhoIR6a/NRmPDHYdXv8pkS91oPR0BTZfPtSd3XlLS5ZxsEvaqQ/XXSUn
DtjAkibW7Lhd6mpQ74Hh6XdEZ4ab1gvovCp61d5IU/cOFfcwB3phXRtNZT1ojZcdWLCts4b8AKVH
dQB5UJ0mL7WwxGLZRXAiJedNZ6Llhl1AhpnesrSwEEzM2YYspkba51GYNdoy41IS26uyWm0gymn5
1kot8wcbJ5K/JVZbdWUGenhnhyb9yR2brkNioFltI7Mw7+IxZr3jANCWZ1UxC+p1VrUXGnFy4J69
8B7K1Mt2Rh7TbpjA6DR3tmb0PoMQHwO9pOTKWsBjgpnYJA0XOrLiOLsg5Rm2a7dv0qeZW3tRxxrt
ehhlZM9IXeXsIWgIA7mUdk8VpdkXnZi0VcEpBxgIutxNAzzvxcVJJpZ21zjRmhglC42ehXAWU0GR
rUit7ILfujrzQ01vdrLUh3GZhF3z3lBGaK6yYAhcyKue5ewK1eZ0eXWmg1jBOJZmLD1kwZYcrxt4
XdlwcjiiTRwrWslRwzbKN4P5TEI6vS/OmrAyKXUdqu/oqOmO4JbzvbPmdIM7gnZdtgK1g2wiRMwS
7O1M29WDJ5s57tHW4/5Bi1KyjbrifNYbxZ07oPNDXMO0uXbwqByyuonXcdbH3SrM8jdMNj6PMr9+
nIhW7usq4Zr3nezOx6TElw88ha5URDHWlJjDUio5Xm1ywhmXcTRN3PK0CRmL1IxxPDIw6p6oCKoR
fDiQGxRvieFRhRkVp0lCMmytQTQ6aJYb3HXApN473Mrc0v2QEtvoislYRlPOVw+LT7Wa2rok5CKA
0i+qxpJkHUzpcbAiWd93nX/fV/QtViZ5wloiAZckh4CQqWk9qXDLhnSX6NB1qbiO842lML3BHpbo
PiM+HNMdCiz21FjrjcMSiIO3eRgiL1lbATZ0nvusJwnfyrOAwvFdG6TlseiD4bai/HWZknBbgf0b
nzzaRNIl+djqNcBAGtEdFZrfqdZeDv6sKRXTE+a99z7ya3QfPdg1vuiNhavkhOdfuYQnCYoUW9qH
iYIl9DFulQqxrmvYZx8xy476Q1gVGviB0bQvUVrc/RQRLl2bdUqPSYDj30DHZAbEQpsnr/TBYcya
WCBWGAiIjko0GTQjhOldzeNi2fIM2I9QZ68LLxru/XasFjZe5GHbxOwyNZoEe87GGhk5kjY7rcnc
cVHnOYCtXHjDLSLmHEKteNOmk2Sv2LXqR8HIy16hUmrvNZkudp1C8t8e3fqKFUgXy043qeBMkqK5
1MvBO1q6EWgraIDeJQjX+gYPCgQfXyakvwaVV88SkDiotTJGj2GDpp5cdyy/d4HD3eG0eeUduPHY
GEZ5CNFAds2tbfTmEeuUuMxGo7kDgg1ayyw7sjJmIBXP2UAhWEaat7VEMe749gwMK0O9e7OQ46Jd
MUXegREpXTJ6QdQWD+bgQiJSJnXdcUMXg5i5uGmagUjWGicgZSQkbKEhrxZpl3IBW9rAAcPmmvEC
K707M+QQnAaRzSUW7rwF6yEjL8nbiJrNgYmriT0howVPNUfl4+pcVL0qtcUkfMTUMLeydxaJ+CUe
BueUIhOazEerfM1nptM340Yk7VojBFdG0MNfGX5x38i4P3CzWssoGrRlX5rGGaW4wHFhtqP0dcOa
VRVmrAMjkiomGnsXBlpvSGOxCu7iIPXeAq/k1q5DmbyOnR0f69L2aKCNXATkvqmNV7OLgBrqUI8j
LRGbEtYq4cW8xHoyHsgqMCWYknjtmWF6YcZTfokAPpe6aTjKvSZlYSkLGFqYX0gXadWLh1TJqKWz
nyNQva9jWjHKKV0VnJRHlJuIFEOYMQ1uusxIHoWf6TfREHD+c3iGnFMf4A9bYeSkGqQjaPzkxiLq
1Oo2InBU12DZA3s9ZqQHSPfuqN5US4rglTnhwQ/5va8w7SL0WKVJ27zjOQcV5NQXEoBL75vQDHfj
xOaCUUU6hUvoweGbNEs2iyRt15XtZNu8NqeA2UMeYkn3uks5QzVSLsCtZ/fpDesFWiuFzTDhBrxN
/axutwMPXEWW81YMsM+4oD7HrycnZrUdPSu4gejyDw6Rrw4mzCc4kBlxezo+ETnjRT8qCq7JB2uW
7cR4x4ivQAm251Y4ExlzwzmLsMFtjZnq+UFzufxtiv6xB+er+wErtk4hJ7N1wELCML84LkRkFJPv
JOOWGrr0yC6jvWSMj+FCj8PbcmJmw5GMXpphqP5hlvzVETS/MrIJc2TsbDTwfHEflbY9OGkG67Ry
UaEX1Fn3i7GQ2gFGXzKRwfDz/y/Fvc8oeHWryvf/+T9e3rKIfjYU1eh7+1FXQwgjhmOhYP29Grd6
yV7yn2AuegL/+od/t/AzL56vGmZAPDoQcvma/qbLOfo3RpkfUF3WH/gRqFv8iYOJldm0IVyP9/K7
LscfkVTEg4ZKL43ZHfZvdDlvlt0+ekVsNoNYeg3+sQwWklm2++CWKWutYq0zrDUBrR+dQ6i1trel
9G5jnzVBR3VLKXNe9IzdokBclZN8cuqA4+dzSJIMrG5wYN5wn3RyW0b2xtC0dQyooj5rCfyPTooC
35/CQb+vhLlN2mBTTvY2prJdL5dFCEAoLQ9GDZOcXs+Bn63yY4oyZ1XpPpHmlaztc1sCcKisK8s3
ztlNCxm8jkG4UaW3dtPqxtXKm2n015yACAIT0810SuBep/RGzQpJNm3t+YjJ2ccp3X0XZEejtM5z
a7wvTQt+bH6JmWZdKrWl+ZvHZLuCHnGLE9Fl7GXdNjLY1YQLMp9TjxN6GQymejcR7OW4n161gbMz
SwSkyO6f29q71d36Mbb4yALd2pq+3NN9sMan9V1rTdIM2dEC2/rhm/cXa9JPn/ifLiL8Y2BvfM+E
yxfp40XEuyw4VcHgwxS4CnK5yJzsGAzVha3UhVNrtKSGTHcnZ61h6e25Mr9+A38yk85cN3x6On56
zLUcHz+/gajy3AIQo7/WOF+X8JDcrt7QeGAsemXbzKcFoMhEbjuf8Fg13fd5ZB5txqdwT4FhOIt3
Zbb1ZpK1XDJy4WRFnczaLyZqxZBpqyRZShDBex3dJqMCcGnZhEa3+aA8HNz4GdwhXcPXpIk8JfhV
+NQDe+ahGilODR1fX7Pv/q4GnyQqglWnR9uJ2PqSe+/BrMQBh8HJjbtDXoXVWQGs4vDz8/lX5pz/
s4HF3/6t/4IJJ0Em6Zdr5GX3htXvva7VxwXy9x/7fWoBCJxqtXk+YbNBJq/0x+pof8NqO5saf1vl
5j/5fWphQCO3BEugMHDMuMJiUfvPqQVrKmBDRilzktIGJfKvVscvi6Nkg+wyVWHnzrcahePz19ou
PaV3ZVdx1LOffGpfGpeTVMBMmsQwUhLkHzogPOeIleP7r2+pPz3tv7z0l1taxJA7Er2p1p5FA0oQ
Nv/B3pnsxo6kWfqJmOA8bJ0+u+SDZmlDSFe6nAfjaMan74/RUajIRGVl5aKBbqADsQhEhK5LLqfZ
P5zznRxkw7xv8uhrEpih//tXM5ef5K8nyCKzNaxlMICbxzYXvdNfT5AsGmHp2KSwjBm5PLGIwK8w
Q19L38y3qmve9DjLdvymxaYoBn8TeCPkpEZ3yJIb3sCdipU9xy8Ey1xV7907mWRhC5yu16NXsTAL
cgFDIq2zk0Emwr86//6Lbx9JNhlXXNqOyQfqH0pBPPKd547C3jh5j9TRsjIiith10IHYS/s5O5jE
FEEvrBGuwZClj3bkXEw23+uR8MqVPog38A5xmPn6u2ZXd4ll75iWfsXeAp8p0wPWNFr5if/XLCcw
xgvRNZ78nVsn2B18/OWxMPUnrdLtlkigdk8Y01qN8cqbb6rWw4ysm9FJHmwn28dq+uqQM+ZTwka7
XMtohHqX5jc4Dw9NofAGfKsFl06C0odM5bzzFJBxxgvefQ0vgcTBJj8E/jAccGQAkuqWgDefH0YS
4mG3hrUzCzN+cnP9VmkFi5aAV7bEWNyZsVSfWdl7u5rIVVx3Pf0Eoa4rW1R0LahJ2zVitPSiWg8D
XzGJve7lNAMeUyuSQ4OjDb39zvepOO0g667TGNkgYbvq2He1/2FBkoAfm9YXH4g2XfyypmMd8cEk
FzTOlJhfjTMT4z70+nE0TpOZTOdJn5ewB7/rtpmV11sApfOxGngJ3Z1D0vSMrVZ5zXeaZt9pDIpi
Yl4JYVxMW/R2Nw08GTu6BCJK8Q6Z9yhAP8ejS5PHr8bpVLs3Or6gySJmnWWUrSmjxT1zqo0c6iev
4Pf9Lx6nf6yqKKSYNrsWqiG6Zm/hqf71cQri2hBNr4zNUBQV+YSEi1Uh/gduYXBuYNQ4up7S1JR3
czJoH0nkLIswXzB1T8FVUjY+S3MEIMBmYxoG/0dWvnq0cr3YdYTJhi6U/IfEqvNX8kAGZnCR/vvf
v7L+B3rSf3pf/b+6hqdQX1SnHMf/vPa/T+caS/dfL7X//LI/VafW3zBvgCr3uYoW68L/LvkRozJG
oeJmPPknTfc/LjUkp/bSDPAX6XT4TDiC/6PkN/6GnB01qo5HkK913X/nUvvHatF30AjABXb5YBoI
YI1/aCSZJ80Vo+xxX42U0yhGmt3kiHLXZmz12i44pNH4nrEXguoz/MBJiBZ0uPUvrhweyb+/c/74
PkzuHQeJooVc/x9uV2CcWm3U0ch+EnVo7xlb28rJv6YZuEtYa4u9cGGApuch5cRVDnY5c9HjJaRv
itZ6GoR37sw9GsA5PRPWeLIy2YSpT9xxBOtncr1Tg4N2heASXk9/IyR2Z0QdE8KGQEh9eIZNvtBZ
NzKq6BO6K5Cuy5RHR5NBGwNOFr3lq13GF5AfJerQ/GlIyfbu4P9hgKiZwg+LyXUEKK/HLTh6Xmg9
+LOyASu9dV3zZCmJa1jts9i6TrDjWFHl5HYD+7Cs/i1xwSPExOhucWKtagnepiqNrcMgSpnI2kGB
Cdg+/quWzw9cv4/C7Y5dLPcYSo8k6IYA11eQDh+ldN59wFkrJfMzpg3wRPFI92XX/h5k1yuEnXPr
z0dXOj91kqLQ+9A6/dmLeXku69ZpH9yIxLW+3hhSW0+crCumpjHHjBkS6bTpVfHFqvs7FbC7hpk1
HZyj32YwR4fOMZNDOVvlHikpecvefOqN6V5DYrT2Yvyzk2GGlnIfyyI+tPpDh7sbjQi+LXt6FDK+
IlrZMs7IeLcg3BSV2qTumjnhUWTWcwmchSGXjWzqUVTy91j6B9np7zP6JdXowSqZmrd4SrdYg06m
sEh9lJgTonrTe8EzH69V7mxRYNvEGXhctP24Ufp4Rnb8FjXzaXSth9YD8iC94dmwMFwb33UJVVOH
FzXKLAQGsq7ljNWhR2DWmlWYg4kKZE+kIoGkkOtXusQ7wEdTJO5zCsMQ7l31TfJxhOixXNcd2gZT
B3yZ9b/0HkdQRCbgSqkj7KWNZ0yhM+IHLI0nu3z12na+ZPmUv5JycSIg8RbJkRRvBcewddGW0siv
vRHEIB40V1R77pM3d4h+cq2GnHdpnOcOBhiLaQ0QUqPfkMegEJvmQxNnrzaRcvuB1LAxS67MsO5G
ggFi19mOkClsdWv9RdEWMP9PnFVtK1hahAQMgxGv2a1dezbImzjr99jV7FUPQgXso5Pv/eQ6xgaL
7pLkswMa3CUIklRGP7gils1IfpavzYxtPHe/ojndZFPFAkUz2nvBRp4nJ19kI9ZGyZ7dbfrlFP5W
5FfUSpRsxq0s2VTW9pbt84vul/uR9QvBuNMKWR37oQjqWrHjo+GB/zJLUDlgeUcDeEY0uud6MI6J
6V2QzD2no+msxeC9o1WmdE2djUtVqJS1HUp58cxuZ5oyrGbfO42gGbG7/3JH+2pE2fI4mRfCUDAR
984lDeKDzIMPOE2HdHC+69w40NPesEWxBUGkuWWpsHcqfVqsrnAbPekjOcgeIPPiAY3gLVos5irj
2lLd6J3OO0/kY6xrB79J75lZTWs3spCFtCOrnnTZtThXNCE3Nr0CCUXzlJIVOCYRU3GHcANOmi/2
gqDa3JeS/bHLvyDIATVo5+SM2OsTIdLP3txeoqp/H1TZ7BN4YGHj+S9wHh+9aYqZ0d5Lrz+xSoRU
2j7pWnCZLfHeF86H2ZtbdKN3umLpqPLXXDEj7ht+Dlw0Sqs3bCY3s5eaD8rWHoAbHWRpwLDyqAkH
O8XTAJJK2DXTaa/N9p4/HZaYNJOB0Nw2v62cifOQffoxSqFJRYeqScx7VlNkjQpYR4bwf+j1XqQj
l2gieyMmtcVT04SJjWOJlBBWKwakaaiQ5gDrSnTow4Je3xVuAlE8g2FVW3cSVN6GJ+xMWfYqguqL
fHfSAJEyhnrZfWbEduDaIz6qn97HILpWmv+EEeNOH3sk6DrBepmndl2b35t1fJhj+wflv7PS27hY
G2l3h91wz273Ph+nbZvDmWTRPq9UCz1SY0kYJm1MNiBzKnQcJx69Q28Mf8SVX9sGlBShizkzOO2e
RhlZZZx+I+TedXPxgMeBSEotvnXFsBMen4fW553MN63r3Q8AEGsg5FM3bQq4q6hdcg9Fdb0QvFV0
dJ33wcqfo7LD3NTuoFqvvKkKBXnD7IWibU+waNO666b+QIF2LgPvFe7tQRbBukfoNnX9fhobcA3V
2kCTFfq+e9BBHC6C81XuPYqI8JPe3qv0TCbWqypBmk3FPuCT7hfGGzvRizmN+wVBhZZ6B/c7X8Pk
388L002O7ZMb9Z9tPkSrxJb50W1fCcBaOyDNXSTAhF7ssS/cwYKSM5tpGxidVrU3RK/3SnJyoTMg
rIRHXnO8qyOTn0ad4tHbgNm6JPJ3CW+PKeo2y+ZVq1u/+6gWG2vI1milTtRvjMLS36lZfSexfbHc
/my57T7N4yeECRt9IPzWaYM3PyPJe/jdOwYkMI5OzM+MAM+OkDyENcRK5wXS1dErPpAHv2dj9RFr
GWv97G7QhwuBGKFVOxwvUXKPO/x1NsZb20FPmOQZDVSoGvbxDsnf8dIxavZX4LEFGsx9LdW9B/AO
lYUVZoGxL60unIzhc5iHN4CvS2bink30r7mtvkjEgup07xOIVEnUwk7t4Dtt7ju8GsQ9s6z3V1P6
aJZHi0MhmdY2xzJAYmCY0IcXzxDxqNb9nPmHySwuepD+jLgLrCImMomtGtLNnSvX6N1IOc/1+zqG
1FYELILs/NZWLkxa9wE9ZZjE0P3L/j25r2g3u+cMewYApy0z0nNDvK4xdTCKx/SFaE8H+bIJHZUf
K7t6JJ0O3q6QEwFq3bcdyFOS5miReANBOtslKihXFodApBtSdU62zNau5760sv0KxBBtegCYq2JM
XhyBOIFJAOG5WfksDde+TTOaejfpfFwzOoVNXae7erTCSWuPeVaE2K5q2F/OlTje9zhTv8xoeO1G
cNwKNK1nty9t3uzrCTkmST+sYkLXHHd4JkJ3fhpZ2A8cvDnufcspH0QD/jTqdspwNt4Imya+Z+Ya
hFMi74KAj3pUh8H0u0hYyqW3XgTHqYR236cI2o5aqtYuiUbyAXDatu62dPgXEdXdGloq6MUk4f5I
l5SDh4GraK2gUWbTbqbl9czXeNIf0kHnPPB3afyUp+DOLGc/pDYQbn/btMMdItrbaFzRIm3A7CHG
+NBQpErBJq8enJXKviYoL+5EznADy08T8iiDjpWocH8H1UvCs6lqnCmYKrO2Zs5KI4FPLO3vUkPB
AvOf2BNvfbv/THGVsrob1k4EVMunfhg07zXvrRpd04uY480ssCSYJ1K7MQJzZNmUpDJysTG5j0b5
NDqbGPEtSPIuFwFhxIQkkJX2HOuYD6oROW3AoJsd51JadvPRi6r8vvHd8pfmJMGmiuf6EEVWSw3Z
Bv2bM+X1C2qmEZyVM4Tkhimig3v/ih3Kv29za/wepxrVRB7oO5Kh6R1mNxrDaICI6jsSTIWj/0KT
nNx8q3RPuogJcOWwL/eB2eQvtRf4m8Iog4d5tHgntT75APc77Yu0IZ430xxj00OaPGYMNXFxkAyM
SI6cVFmkwNFUvPdanHa8pP/LK+b5SytdfV86qt9FbGIeAZpZW8OL+4uPA+SoV1l50jWvfaTfoz6m
MGNRw0L3JsrcemJcJkN8Y9wtWTIddKNrTvVox7gLlLllicMdN5O9HinDZ3ilmYzWxyLYDXUj7vEk
xZBq2wZEczAftKDp7s0Kyl3RDt0xGDyC63ON1ku2yK282m3ue5sou8pU97Vvkr2KECx7rP3ee9Fb
Xf1qGBGest6NtjFqkYuNdPhdWpiPAAuKZxodnh+/i8svP2OgqBWWAyV2TLKLPfbOkxNkyUNg6erW
TUFzNqbWeRjtTF7aOkjQhL2MqbPq/JHY4bmXD1Ft2M+abatxVaXwNVjLT1splvQ3Fu+3dvSG85TO
3p3iwvxIYJjvy3rwyVST8gtVanUFL95fEaV1FyCKGaYueOQI+AcSWRbYHtv9LWbIeBdT169Yn7ur
fETbZkUm1h07K3ckpze7cmmwKxx3isX8MgQtJgJOrcR5Rd0N/Zrj6SNzCvPcSODZeDGMkzbPijMF
bGNZpNdafsiEwNc0YW2DC+9imoqbtCnV+NjxyVRgsjqCrQHJV+tBzL+cIsPNNnWDs26iEbec++xX
88UV+bubFnubFOSkNkObEESO/XSvufIk0mwDe9vdOB5uJt2P0eMyq1Pcv7r3NmkC+Ximh8gmv4lE
Dy0z+7TbHIdoFo5xvoX1vKmo3LgYbEciXARJdvZjW9+B63yVZv1kVvYh1f1zYQ8MF+cwySy+42E3
5mdTb18Mow82jda9zeiNVipOqShL92m0x+dIMy6NIoZd4yRKk/xOSe0Q++rip/F4aAxhM5Q00UlX
EKvy2bwo8m9ZGMA4z6pNIJJ7kU7dts4oyrsUErBpb0dsYBhezXWz6YDuE+TV190pSHwY8j6JztXv
puqe/zIf+i82dGi3/m7YwRKBLaWuM123sBIa5LHx3/+yZyXanYrJwTjmFq+0+elploO8yAmeiWYU
6qi7lTjLOp5vi1TyYUpd58nIuuzSRgJlXedWI/HcIxKlPx6VfHlqkHwEZ2d5kpLlmcqXp0ssz5nx
xxO3PHv1HOePExk8lM48msPyjKJ7bu7V8twWyxMc/fEwI9PtjsSTasc44llXy1PvL88/8+Z4U+Jc
xaTUBbtpgFQNQjryD1mUQ5802uhqojfcNsvZYiynzLycN3HEyaP3kQyFPVlPnqM4l4yO+jxOkv4R
inL3qNddCRXDbY8oJ/oL2hVrC7rZeDQXyke0nH6IVGZCpDkRNYaqP+ZySkK1TA8JbCP8yckGvwKH
6bCcq1gN0cP+cdgS8jntVe4nH1VDndHoKniwszzYJJaZv4xWQsMwTRzfejK5J6Gm5GYHtfErCjS5
KUUQWgTShO4fl0A95MZuWm4GorTH72i5Lerl3iB6QP3Wl7ukXW4V5jn1i7HcNNoflw6/zfoQu9xE
YrmT/OV26pZ7KvKK5CBljQqPOyxZbjODaw3SmBmv/Bn7LkPC05IYwgYD7fXLRN7hm6+GvlmptDBf
leMx1AI5rN6ngGX4Slk+AUkxA6icz+YGvSjxeCUFnJkidrJkdfa6gky6hDUENtPk3Ix88lDQIHey
MTBrhHyEuJijT5uoiHpfIy+kual7Y9s5ukcSSP/HK4I9LSHG+Z3HPa15hDziIk3Crq6La11l7qcv
TPNUZhwSOzK36VcX3QGHWa9VxHa6dv5l6c1ttJCrrBvddMQ2iVBmt3QL4cCqnIFX6ZJYsJh2dQf7
7ijEQ0K3uZ9w9raLxXdYzL7pYvud+fiqAl1gjCM4QKKQZeKpWKzCGpac9bzYh9HEo6ilYf+hiXnV
fN25t4Yg2HT4jsfFgDxqpoW2GlMyoGZ4F4tR2Z9cWLapZHNvEX9OeH365C3WZncxOS/kMqDnT3hF
khO01XxfLZZosm6PsWX0m2oEeLZ1JfAkxnK4ky33g+xQZiVG+lstRmtI9wlVMeZr01B37WLHnkr+
dxQ+SZh545szGDgdgHxsK1fa8DxrcyeQDq4NEghXqHx3flIPYVFNoNx14WwZpjJW0dvPYtBv1IV4
WVzEkFQfz00tX2qzrB4nraEd84tkZw/DiOOfHJY74r8SclPjeodlnxBRzTB2VuY2W4I355Vvj912
NHnWYAfYq6gDfKLFWD1j2X1M6L4PQDXSN5SuHyCkqSCchkQMz+/x3VqgV+YCLn6bkphcljJkUw9N
vEG3SmiJCPWG+WKfwalN4qCktGh02vmrI9jUxRYVE7Zh9vc+QsAaaecmUHStsKYBuQbjE1/nHDAX
sPC3UMk8d75bnereiQ5mE+hsSlV6X0fet0F+6lNuEhnvSw4UDaEwXczvzHKfktI1Qjxj3srUYvtM
XlwWYvNAYxwk311ATVFkHVe76Er4dRUuDJV+KWW+TcW77mT3sMv4RJgpIknvOhu1uVZ59dvt5gcy
ByC/+oD1taIvrJUGrW1D0xGT2GOOawuPC50IjQextVxWtd0+joapP7Py7uhejV+y1i2wDtmz1xZ7
o+Xg0pD50hmz63JjI7mLoSQob0qYJfN8yZZLgrDcdM1A+jxGjhmtMIkKfNljfUhMLdkj657fCNml
yYwtGPkyZzspO0/MCLnH+SNKc3TAgZ2EiNi10HYYekGFbz5RzlqHGMHvKZmC7FD0dneJaq+/Qiyr
rsQDy6+I8+dkmMLbo4TuP8althJLlWUt9db0R+W11GCm1nsHEom1dfRHdcaJaz+Dm5cP7VK8Dbzj
/3+N9T+RsJmIItmn/PMd1nWoss+vv66w/vySP1Vr7t8Cftesa9lJ0SDrLMT+VK1Zf6NzgDgLYNFD
GxH8p2rNwk1qwIMNoFKhzPhrimSAmAMRHF+IXhMKn/nvbLAwrf5dNYXEyAPcaVom8BaHvxfC7V+r
qTiOmbBVZrXjHOv2rZEPn1XK1HnRt1+tQutOk9DVutDs+lSNfgJbsKJHlH52gvPMTcPi7sWvlPMd
EEBEheJpW49NxBqMrDxpeZUACdSARTlOdGTqFHPezZ/uYF/rDGM89y6jiPKkaYW9Zhntrbw6whMf
sIcifWZpql/M2v6ObIIDRqc85l0jdiZzGBxFOhAi0SAhUaaf4nTyjOfCSQGwCIh1R4xQ1T1n13xB
xVr+4oTWkT657pdKkWvzetMFVYq2NW0tZmXs2vELw0kmi9qI00JBTmqDKP9wyqFYxzOvGpVWzGgC
jfz3qFvjAftWzFarmw5aVVtgCgi2F1V5I/u8/sxV0h8zA+j21PryQhSETwS8Iy2GzMtCMAd6fk3I
ud5r+XLaxtNArGZHowlhgb6oz8xnRScXt1I+ppnFcZfYWGfByu600rtivxufe9ImfwQ5Vm+pO9k3
diYcXfqyL/DZd0nmnpvSjdJHxrHmITAVI5dRXOnSDDbgwlkYBsOJDJf0bkz86mXCFoxhTrc4zBhW
8dEIWyGyz+XUoeDBu0+0EOTdVT154yOihfLMlfcT2Uxr4JIj6hlc8eamCryErZpf7kw2eqb8ee0F
8jUxm32eOBD4IJmkjWHcGPIRWUQ9f828KXizAYHcGaqxT1bZWqTxzsU3/j/mxVzaXNVZ4pwVjJFz
NTeL0sQOnF+NM4hd48floZNop/OknY6lbkfnqajEHkECAZuGbxCLozEJV95P1HK6vlkZrwyGOXjs
iJo5Fk7XrWcAU8DsM0Jz5ljFcUjsacXcmXrySm4c+8BkhsuszerZnAvjUhXYmkE5iFfWwOpcKOqw
WB/1O2UKslgwBoWWN07rweAXhJbeDBY0QlvT8zbdXqdYWw/V2K8Kzf0N1dE/9wNYGGGKYOv2mEfp
LuWhR3t0Rs/8DPxErIPc6bcQWf0tUgzvKcCJggm8LD7dRKM+7FIrZWWkRdjLMPZkLTYXMZMQMFca
WedqqENN6QJvW61v7BkKQpwquhG3VnuThc6uyPSSFSRrHgmnxapIUPbn5j5Cvbl2Mj90enflKdns
ZkaTDUC8NotCiGVVSHzol5OwFbaL9ITXxF81g57fmCqnWMA65uXYdWwjt7eusZgKo7SiXdH99zyV
zBZikPE3IyVf062ad9stvypmWs7c3bHl/MUg2GXPlvv7RmvtLbbYiMNn+RPL1mfyaExF2MwPU2c/
UBfi8iqQnqKVUo9xkPYrayL/FYOgCGVafltOfW7TGe5NzxLSGMg+pYsbXpN6otIz8nnHGErH84er
rlaVccI03R/rzrI3NA3eTw+uESqNa91j5uJhQg22ifBLPCJi4F2VNjMBRdRRN46kkDngM/kcVxvf
UAu+e27ka1zS8llexsgqR6jDXr8+Sk9LQy8fu91YZ+pAkLYE4oQc6dDN8UxECXJP1jrOlmKlW0VW
TEkXKbmOW37bKneS0JkrMtq0pN/lgSg2WsTCkiAIxFeDQ3GFauCrgf/I2iuv1V3f6kZY6r08Etod
vWJNmcOxzpu7PpjGoy5kdawK4FlJyX6HyMP+hOBID/0g1x94yNm+ggdgbM0oMw2lOVnPLkEv1KCq
aIjwkQP6Gzvxz13MwbdJUt/aZiO2NEaS8bcMymdrEgKpcLojkASiT97t8VN6ay4M522stNvQTWeV
8pNHWZiMabWY9ugx4ZRmby0Jw5g1/SzMFBHldQ1+NmoLNKsZOhIsUEkHmGng+e+x9iBPTXc9HcC1
Q0Sd62itKZKh6EbojlEcDhld50DGSZhb9imbazQOgf9YzaM8OTV398qp7P4x0dx0cdB+5zhm9lMd
G+toEWRX6Y0C2F7nmSa3M7VXmHYs4nt2VjuLAK2d5XCCOwYWfhkB0htKRFvYM2/J6D3THQDNGvkD
QiNv1FuTcWyw6C0zZz+6rCXpT6JQ7/V1V0TtrqflhQ8QqY8UIdqD7pLGxJ8eFv64j8b4vafpYwL6
hOvibJbxptZIsEUuUG6wKREpVkRamMguuWs1AsslK8ADSxVSZ/jJXx36jPfOyqANCj8/cEvsqz5q
HuNCa3eKtYATGuM40YEmVfMmZy8+CVf1F494zFOtef0PHnttxSd3uQaBXRV5WdHzYs7z5i546NwU
qoAcNq4+vA3meI4Yug5TNp+NMkaNl5hcs0UVRjggpxW7iVonZodDVRr6UQMrsZqs7g54QQiZa1yZ
SW8AXWH+VSCnNAxcVugcGuiSYFaMuT+0YM6k9Js7E2MhfIHsx+hU4BBFjU0U76PZPkKwEVDSfjxp
Tb9TT0VnIXO2OxT9J6dvl93wBAFyTZxD/zlzDf1ks+7DdtIhuOUwfVeK1pDrLRvnp7Ly+6ccuRAZ
yyovzXAqUnFTo44MvoGowf4jWTt92TqrlLiKF46eDBl7JHedqLrVZKppp5v42maCedbD1LLQMhL3
UcsTeSh9NZc7N1aEtVhJ99TgxJOd8C++5gxEJvnaC9C6mYxHSpRYb36KRsqnBq5diCXN3Q52we1t
WWVwgx3yIr2RIcPIuLFKzlihYNP5TO+s4c3o2+cWFeLKqnLrhjy43gKwJl15VsF9FZVMPfAlk/nk
ECJQU1bETv4rSxDo1zECovRE8NB+6ieSo3FDxIhTSvKGc6suN/HIgYHNtCZbeWvoYl87wxVK1UOu
J7+40JjNjN+dY++EnJxzE8diGxt2ELoZuG8HLhL3LlVYlJBD7nrrjKyN+6YDK4e6yF5bpKKdoUVv
C1yvyXqSxJMFiT2ccQ/ASm/EZODOy5p1xizgiePXv1NzByy+H5H7U8JXjNyoOu3krNd5eoJJp63T
cbL2Apn8jSpOPdZZARKTDdTVILTRKTOgfRSwpbQHVC56H4piuHczVpJaQjJc5zjFyunMbg17KThG
Jgk/hmXIvaWNeli32meG/3SvRFHcYT7jimZCid4GG73oWBHWc+LckUpnXCm/xRFYgrlv6ik+iig7
lZoU70MmvRc49v7aZAJD9IvSmA0xUHto8TZdgogRBLGyn35R8f0GSKsmbh9EOouZIlVhJ/o3Af1E
jDUiFLNHC1Qu2KI8O0a6ob06aem/VSV2klQk2nNlw49zFyGqo2BdFLx1P5J8mw0VJdlgEDTYE1Y6
7lX8xEdG5YjRBMSJYYSgPPUub2oZ30Wx1lw9n0sqrou11VfDK4kB4s5J/fa9TmtgGI5YzNKu0Dh4
sCDCDum2RiRaPjsIVQiCjMIpDrQtaIYgnBlf7BqAVs+VSsRNj02fxHMRPZCyaZ1dopIO1GBEd5tF
9drGLdTSkhwhzXHUg6nhcRnTvkCtZHg7kbrV7wDf4I55sh36ggoayIB9ZxrE/KyWMdhnaqYJgYBL
6I0B7uJU6yp9jGOqPOQlIn3p9IIro2ggzwxRfDYKXd/FVqmf2UvxXI+xxTq56w4RoUhIgqv4o7Jn
gwQ0z1xPhJh/2wJyouY3zosyIE8O/eSyGBm696AT8UOOu/uxnqR5nJB0ceWRWM5bj+MUpzP7XLJe
w65bLleCvYHhbWeAzRRsXfcyIHTZa52czp6Fgd6dRHW2u54kTd3xNnMU/UyAvAx8J8SmV4WidJNW
tEXO7b8bEsBeXJXWA+vpbiN7Q5ziLnOpP11nr3rH+aBlFZu5jIOfpo9M0HMZNA/l1xc3TtPzaKCX
c2yW5Kjj8YYA8uTWsIOtrAQ2UTO95tqEjCOmMvfTwIDsYaDfMIPsbCK4KRElEeflQHf3+vLozzkq
+MYMDqgdMcBMbf6bH1RsoqDxTgSloh0v+jpimaJ+OxFkvTJXKx+NCYwY9jJGKw22FMYSSBFzfhZV
hPsqPo95TuVoBPdmo2A2+s5I+i3Cv1TL1Hqai/faH2dEJZl33yDJKp0521bgJMLa7KbT0uTD5Kx+
xNTsHL8MmKIFahO1CUBA4uNeEuZHFplcKMESnjlEAEzwXAG6bRha486mBAsZ+1bPMQV8RC83vsTI
Llgd64+ZiqOtHW0JwtsZuciPUTnesgkdWzxxuChKcjIvtdhQ52UmuO1jNgToJi+Z3X3x8ZSrjPyV
M+mshIwokJKiFx49t2vv2hkvATPPqgkdiw9qQWRV32buZSiS9znRzzHn54YoMn2pDdJtLTCnjY1m
bujzor0PvZwkw7S9jU2RIh/rxH7sgnmjOVm556bIjsaIcVogOrwMqDpR43gCPD/bfM/SQQq3enxM
5WBMqwKt7ZqQRtNErBZ1ESZo89U0KZ4W6okostVY1EUc1iBXQwrffVLf5b4/EdEwTndI0n38t5pk
qedk1XsZmTw8VmJEv1qC6bVVlHgSLEcipB7qY3Yjj1p7kCzz+vLQ2kxy/T7Re8pMZzzXZV6dsz4z
PrgB23OjFbS5Scs3nuXCZ/NtSDg2WvA2WHP0YhoDgqqRvmXVp6Qrr8pKqkPVsvAg87bfeU3sgoVC
mqN6dzg4YGEfLGnbu2E0219um2HNd5Mhfa+BYIAKQH3YNQ0P48jhyVsTnCJw3Ieeb5Id+QSOgRVA
mJLpjPGitVlp6dPLOKTlY48P8QwvtN4lxOpBm9Tbi8Xv9GYi/Ni5s9+/xOb00xSZuaETWtYmI9ld
Bv80yAjQiGWNzA2chbyCZf3CbWtsSntEbBklJYpL7U7L9JwdLOkPHoXFKjCEtjCoAlInUocZz5zx
2DKU9h69QmqAyMyJgrsu7/VS34AsguMVEzTWkEK5d9WYH4PWIpS6r5+km3+2xBfPKtVQY6TfeW5n
B0+09+XYwt/A596whXntaH58nmHPMljGBeqjFgSEp4DGb/9H5p67n/r8Wf50/8iM/r/QbWYxPPxv
WdCPaZ6nfyfK//NL/nSa+XCb/f/F3pltx21kWftV+gXghQAC0+WfQE7M5ExJtG6wREnEPAbmp+8P
tKtMstR0+/rvm1q1bEuZiSHixDl7f3ttGL64cN2/RPmu+xsieNvQ6V2SmoJY/190PJf0Lf6BRz68
sFZ/2l+SfOc37JYc9TFj0yNdfWv/gAIt3k6HyatB+o8BTmAqlwSHWO9cuGRV6uVYEvQrh1i7WNox
86MquZShUV840+hs4mapA0nA7Xaso+lTMmbRRSk4OzdMpZDmoS0vDIakaaw44XHivysLwFYVE5/L
wpnivxHvr/3Vv+xi//l930n3LW22u8SdxcFLcsaskpZfbdCBg3dO1agTRNF4+iWwjHD/qkn9q0H6
i5Xro49+Z4yj41nUVEjzIYkYJi2kglyBW3J3SzNV27TXqgAeEPWHAMCXGdb1NLQTm5VXBB46IT/l
UHOYlxKJM1XLpoKrDHchvqbVjJuq5urZ5nSdkzt5GXb97CdOBcCnLfWDWpK7eki3bZ6QFK+T+d41
GtOYmnPsY5Zo8xLMzdjcVHHBGtYV/f3ALnHOFPGcWT4l27xGfVd4enVp9V5y2RKy/nvcj1TXWl0h
niIie2bOvoNOttXL7/MQ60fcQ3uQaRpSyJj23Cj0T3KspqODRnmfmzmgnilKdqnTkznuKVD8ldE/
4sTWAW4gPsZ3hPAoQjKHqrvaV0b6ybLD634eb0ljbuEUBGOuPUpVeqcuT4uLOfW+qMXQ9pZXn9pZ
6sEc28Y5XaJLpNgUL7RyAndOoab0yd4ca/jbrvOtQ2oZcMQoN5Q+F9Rp8EWG+RqqhrVTTdZte1KP
fC02u4t6mMgP6qm1wjy5qkAXEfusH9qoeoDjdBEuMx3Jtg4Gzk+M5VByNBcQKCxApnqzw544BXVU
qF2yoMCjiSK3xgiOhX0rC+DOVFt+GFOxpO5ICrb1r2PURlvU80xvEfTMNIeS2xHd7AVvzSbR+lM4
e0hXEC3toBQ+TIM23E4FavSpkDod9n4XAeGj9ak9wJOATdaC2GJky+C1quJrryewaDDN/My5Df8h
jnkmkSHsQlvfd0kcHqWsXazGVbxt6Nkh5rEt3+sRIw0IoB44EF0AyN5q1TBAoC6Oi9maQU56NIpd
nubJIrV9rAFe9S6IDTPr59MYIWyeki7Z6yhCpFM+dBkZqJ5h7Rv2eLQsD+juAmX3WGYYqwYW1NYN
bMaDbXajnzVIX0sHCmJuIIjM+5qCinnh4FkHi7u5Ie5zb1ufy1LRSzdn5MZWzZknRzmrhZrrh3mK
1bDhwOe46b7hlCJKXT8xQ+VVG6cxmAjU3VR1B3ukqrN7wG5agN6a84m8X7uEQeZOILjmGBVZn17Z
LpLVOeYoAby9YySsE9agGXttbPeWQdUm7egOabfL6dWjUZsdm8K9S1zOwc08PXRTAsgv8bsuvhoI
LeWIvgQ0+7cT1qC8uXbQnfgOgsk4rt1PRpMlqOiQB+r9tywBGWVHLeo/hrdF+aA0omInb9fExXdd
lNuOEUGQO2KgwlUIHUx5Bf853gv0Hkna3CZUseT3XU9OdJGGpUFfGindhoRbZxeFdsng3KzUk8DK
zHUv9Xt06Dtg4cYdFhxysBKCyEpvmL4PWDOhcLY2fpHJ9L7FOZgbFBDJcVqUxa3y5AwJsofC1tT5
jh4WQX0xMq4JXOKhrRPYpEy56WATMdIWmXXrgu1FD5stlylhQoccUuGFybpI0at/gnAJqN5rxtOs
j/1D66EfAXGugRfSdOAmgtYmKdoY5ktHR4A9Aahv+vauCYv+ZuzN+pBUBjjnEUlvnlYxMy+OvB28
uLPdhIi25ovWMOetZWcPc5l25BJ37A+Z/NzPC7jX2kEFMUdig6lGbTWDHEijcXtfd+kVdRIpgQF1
YZNmiBA8pZJjtJbAqdbqe42D2dbR6ct4lbIeCyooJ1xY78AEFYtLpjfCE3BM9gK4wVnQV1XPDshv
AuS7PTItw9c4MB2Y7/9u0pnfyiS8dRJ8KyIOtd3ESRMxXwxZXUvFkYj28ooz2t3H+9hqAH23izFF
NfD5kc9KEfFODiY0GQstWxOJveq2Sgr7UKBR79H5/YEeeBML8ppXI96OSl+26jef9K60AMFexqBD
zcMQ9RYhE95PsaiBGF+j8nFxPdkGTYvJkogb1pW3doDZfPxbTeMXPxYTvzQtYcDtc95Na5EIjWmp
FvoGAxRHoJWGtuK8YYnmDs3zlqy+pBHZfbfU3SEjYOEKav60iQcO23DymxOUHRy+qmJKl7a32KY9
dNAtq3wkyvLKcpYQHbyeBOmQR4ck7MqDMU1q29L9C1SpX7SN7h44yjzTgSP4BaeyX7TFLd9DgxOc
f/v49/7q3r7+ue/M6KnMc6zjljgAtwvvVDuB3uZoFdDuXPyPP+otJeCPm/sHutnBcMwY+O0cXIy0
sTpyxA9J7zx3DhLM2ZJfEYqUQWvVjx9/mLk+Ku8f2teftgKZXmkYcVsVw1SlxsFKhpult8wvZhH3
x3SMfoiEE2ZjZ91NH+fxhdsZy6HTJgC6Gexg1466S3wah5Q7GRAZjjWnmXap6rsLOvSwCyds8EnC
LcysUceUkFqBMVflDVQlFKVZy7RgEvxtdNIQvGjnaS1KmrU8kdQpH//Ot1ypl4tKxQ+jDaeuy3Vd
H+dXPzMrRlvX2EcOdmMxXrFD+P2IBindbO0GDDAOtL7Js7+5lb96Ud987LuaGvcli1tF51aT1orZ
tX44mWBnbhE9Ja2uXZTzdBUylbwBzlZtnRFW5sc//JdfgUWJAGIB34p50dtfnutiUjUBFgczyVta
SAbOdXWJnhduZWdxWK7ta8Zy1Jso2lj1m93HX+AXj7P3+vPfvTk9HlmEzJE8dHn/1VTJdNWVoXlR
NDYPthb9jUt/PSm8e5z5pbrFPRYGNKV3vzYeQQZ3CB0PlokRWIzZuElU2G0//k2/WA3efMq736RM
RBe5VclD0XHwx/yCYQ9SY0dH+m9u368+af0pOl4ETqv/sRjUXl/iitRXONG4GV3xJbe9I/vM3/yi
Xz4mrz/o3TrA+aPvQFxIdhNGy8nYXafgtPYe6eDgxnvzPos6DHDRWh43a6Fs1ESefHxZf3Fklrru
QCpxdcMjNundvhbG04gZLjQPvZPWh4UpzENtSHGEjmweanP6VNVeFkQDM+dkmCnforjxnSYn2rLQ
vmkAGWGOaqyYVBflKYuKL7grGJAlxmckCNXfHJihcr1/2KBAwvB2aUrwjaHpv1lUoBRmYbG0fDUC
UREeVRsRgyGqlhx9j7ZcTp49bVEfHHoVI5EegaRzCNV2aFAp39d4lKFgOW2H8kiZGm7x5xP6x5lG
aUyiOUQ81/UYHfWmoIRjIizQzODDcjiezS49Ky3ptvVSUVvVYUM38idRfWIzj03h6/hcz0qpP0qc
fwQ9+v+RIEHYmM2r+T9L7x6+FUn+X1fffvSv5Xd//rE/m1X6byTHmo5rEGXMSvwKi2T/ho4OQAV2
gn+xJf6FRYI54eEsQOpEngOLABvXnwQJOlzOCsaxJeQJxHvI+f5Bu2p9Vv9aOFf6oEknjf8hPY3u
ufHu1Wsb0+3tyW63DKkwSBcDVqDmayHNyG8XYlu77EKqaeFRhnbw6krd/PEhr8tZEFPvPhxChgMK
w+CamIJf9G7xmTRks6NDAgHZNcsh7ID24LOasdaqabOKkTYLLeJzooZ439d6Ap5b6N9LbDNbr56Q
hsfoV5nUw/u9Giw63tMyWaeyXRmhVmJeNC08gKRV3qWZKCZf7QwxP8RfMR9CvUaxUTu3FKYWRrMV
kQsQ/sGM4XrDcOAvdJaqpik1imtZMUPDOa8usXBmsI84oVcW+Rc5dqGOUZsyrxy50FTQGzWjSzKX
W8JdjTM8Iu3BAZ2O7q/yrkcTDLkDOgviuF7uE9LiPqUJqKPGCeHvpdOyiXO73zOct05ehjTeYgk8
Lmt2J2I6bUUBQMDNDtJpjLMD61YFrZb06P8aqzJPTag1BLo7Jnm9CSxTpDl2Bppvdr8ioMJ5muEX
uAO0FdW+YiTApEjjqik6cPOQqnOHmOcwZpyXb1EaDj+LcNZ/L6VSKadXrZx9HTNT7dP8Hx/HKIoz
tNBjcV+a6gt6f2tLIBKteKM7uaU8eWVZH6K0VYehdZN92mhf7V73LvVeTnaQ9yja8171OKmytE9O
dmpOkAWKCSctcGluVoa3GrDrPgf3ujfciBNl2rjVuWROeUS4SLDNEI+E3VTp3gvxvSfkqu+UcrXt
0nO7lcj0bzmtmy2SLhX6+AunfYYZvqC3d/ayJNpltB8vTUInOf/S74JpNG8cTbkH3GJQYnlzLEAT
vTjPyRjXPnRrEgnSMayRlDGIz9ti2dH+gXfvACNG4eftBmksgd316gvSbvfLSv66rFO8N1NknVzR
IL9cn3OiM3K/QZF7aWLfeRhI5NjERd8FVBVqa+oEjtIfod4GXsDxiTPHg4Poz9tYVpvdkyrviWBA
WCsqf/Y0dB1Z1YgeaWcyfk3d3hS7Ghwl9MReL5sgUwPxy7EYLaJKlwU2ojkactjROViu3NIxn0oZ
dne6WeKIc0gp2c8rpGhEuP9zIZYDroDyPnWdMijeVspRmsA7SvpCPpho1UQwVRMEFxlnHoqOaSDl
LRyscFwZkkzzPYsE0lFPIkTqGUT7I6zn8ameJwSAA4O2c9qKVnwFRDzvF9xFvmcJl918sdMnNbX5
zVikTEWjPn9QJAweSGKATpFYBzcfn5dOY3zaTuMuK03zOYKQ/CMhBuQwR1ZyiS8jPmJIQpEDJQTg
W2MOyBnj+qRbSc1LPYnuEwZZ73samuFRq+wl0Cw08yXYV9DDqrAOmd6kTZAghrtcBPk2cJfbL+QE
M5DsR4FYY7G+hctQ7vqxSp4N8iu3jLHLu1IbXAblnvhWRIt9I/B678OYLXueXPUpTONqnw8k93VT
VGACt5rPVWqan+DVymOMOXJT13MXBlY2ZNhm+2zc1wrnzyYr80n5OIxE+z3H8h6dYrONmPeluSsB
JCTViOWvCx/bJdyH6Rw/Y5y1nYOEgLdsBc3j5WCM2gL6I0kJbLcrguRjc954Fj4j/PEts8lIbzAu
WhPRj4oRYxtM6ZB840mb5k0ZYiOACOolOklrrMbksjDXjhHypTunhpMdmCbhDr3TON65q+fiYjFn
oXaNzDA4uGTRHsm6FF8tUsZu+nYZjg2RcF+UabQkUWvDSFBXSU2/ReDGawMbO/wW2zNYnBB54Ale
9vi5T0sMCCGZJ2HQ0Fu6FegS1GrJhG8eJdO3Mp3qqw4pnnERF663HbT595lwAJqDERemHHLtvqT7
9ROd5oDKkabu6BhDvyWgjT4KqtIOpSoV2iMPP2JQZHOMW8eZuMM9HTDQbT32Fn3TjIONyM1pACX0
XQPWkh6z+H0CBRFgQ8rEyvIu4d70Tfc71iklt05Wyy+FrPXHBjyErzeL8T3pO+g6ciGMuVvanZ5H
6nqcbO+HMpfqCkGkl6Lk6/QSJe8SLn6+rLEX0YRgnP8sOTFMXyo/qh3zAV0mKRaj5KWH/tI1B3r8
fAGSiqAMFfEyokoQpIFsoiylxsxUViM57iXrBbHtSb4nNqYErx9ZfeEbNsaPnZvRt94j1HU5Aqz7
DvjB6jNbT4htPWVm4VfTUH/KyA48ZYySd9wyRLmp2+0kE5MzMjM2vMhjzKU3TncxVANMuTw2tc4v
qqK8aUJFdo3kdWCu7iBGnK0bFc5xzOzWMa9ThtBXaHsRPDdGeS7mdmQ1JTGJuLVxH2c9CmcHaSYu
NsKuc+yEZnynCU/YAUg6tSYmjfr6oqNaW8hl20a65/5I54Lntp8Tj/yfzFPP7ay71wtowQrN46Tt
6OtSCRFCFT8yf5aBi43uVstAzHf2dBOPAn94NkafRWe9uDIdP2x1TGxgT8IN+TSWHztee1ZxFF8r
h3QiLqcmP+VVM3wnjjPjnUlaLEs6rjdOEba++C5MsY0pLSLflvhMRgYwkIENuW/UXupVTQVhxA8Q
jcarYan5wzHJn1cGhqGbPMnNKzkJe8B9piV3U9fpm1l2uH1CsC4MfTYDWSOw9IeNtqYaUJPtEj0q
icgyv8tBsyBttdfZHBEpOofYpNOaz+MP2rshLJwLNKXVHvqP4Rd1He/Ako/wWtPSvRljIIQIwIVZ
BBmUT3rldg2tBmXEI7scGoiKh4o6iEIIlke8XEGihADhJtpyZxspYY+9SXDGZhz4QrAQC/QzBt1t
zvF9+5NGMz406Sbd996NifkouoE0r6Gt6wOiNJ1MacLwNo2LPd9PC2e2WFotRI0eUu3xuBpK+Ksx
UUA6ARNzj2OpOam5W1Z0gFQuJZ/Fflj3Sf+lQzD3Bc9JvnUidwFDQalCAKTdMybkQCjhHjW6/X2p
M+dWknDzWZAKGPnNkGRrKENNlAFOTaZ0Sq8+NYy3pq2AMNpxST3vplH1coW5bzi0pSMfUjiMB90w
0muyANzHCYkn4yDR5xVzFewIx3BKJEqHwuabDCzgtR95ucGwxEIM6mVIwXbDYoB0M8d0vsezY8Ub
KnZD+uXMZPOgT1V77jUvVtuZU/w5Toua9mLEx0SpmIb1vkjWVRW3pHTbkkUMzaGlzm0z5uN1WUgs
222kwdbJi2FYyKHQ5vA60ie3DFICX8iAmhcuEIbcBBEOBbG1s+bYuB/asNXoCTqRvk0HwxguPLsZ
3J1A4n7lVrl30Q8OU8+40CcqYHpzGzHL7KJGc6uo1gwXCPtofHFi3f7CS50OF0KiASsE7I2FRSdj
Sc+cTzPu+PKEbANpuZ6MDS3/ybOYbBLXRslaT7iYy5woFUJPQCRoiwP8WaeM2o7MKxLf4OQwwOS3
cVNwT7z2Ip5DQkrzIf1MkPqQAHbsiLewOg7leQUWHgmO9lMXacgkRNBf0NlVjsQOsxRXbpw+mqME
w5FkWveFu11fYpTHHrgUJmNMFvNDqHLjtMgIwYkVducCVSe2iRCRL3pw7hNfovcnW05Ye608DuC3
hYooNjX3Qe011gMBYg1Ei4/PY+96QQ6AS8KwhQ1SlZOqkHJtSr1qlpZG3/V5IrttKPT8WHXRU5mU
9wzhHk2vuCeGiY0VanZAkflVITi+/fjz37ZV/vh4W0cyQXUHQ1hf//2rj89CZRTZqHVbUmobaDI1
+PAhyf+mI/xyon194l1/pWesJ06dz7HWUPLXHzOrZTDGRfbbIYIs2A+4zX1HMzX3IGPU8wQn14XB
6LuMf5RsTwY+siYvNmLIx0fytazjrJX92a6L7i7DdXG5XjLfRllCZhcCesPgoJBkNjG/Pftid2Pq
NnCml0v1f/2Y/xXN3+SW/c8tmUvsgXXfvu7HCDqpKH74Y38SPSXQaRAOaIEQ6khX8qj9G+q5Bmh6
nJwkm98bBZH1G0ZMx/AwuQNBAIPw75aMgY9yFf3wN5q4CUzzH7VkOEXyCL56RF3Y63yMQ2cRCI2w
3jPgrUaVtaZn3iFtk+LAZB0JUQKut1vMTY2qMiI2cnrI2Hj3koa0H8XL9KnAYXFfigSBsddcao0L
aDIsppNjjMOdGuStKPFLZYuAWjkSZG1gSyYYhJTYTdyGn6XhFpddph1Vuyrwerc/4Ym508CLhug2
4ycLdCUYFyosY8hvUjd1XSzVZG8CtJjB/TS93NGK9Zagxrf84DEnQ07eoZ8c5/qyTSX5HWu97Bdo
LVYPCcHPbKEHrQQqfoBHMd1j/48fk7r+maFzdoKoM5sWbUT6NTEgGSHhOiRSXqUlSy7+yuw0wuIP
GOOroJTAG9BGB7Jf2RsW9YZinnYH1p8AQ0Sac09ROBLS4rcJFkdkWcIfmgTNQpw8Ukyxf3XIl0GS
wYZWamw2o2UedVh/WBYpIsBKR7vWKISveESyzdgV9Z0+pj/YKiVKijD0zXhezx/6CC9N6V8Lgdh1
g6162M9g5nAukZwykM/VmaN2P/ROfjvktrbPRyssg1qG+i2pIJggSB6P2S1KgURfsAFRM4562KJc
ytDXk+tV4gTv5tvQoEDtGlnQgSpb8mG03DYOeR1H2rFd8vxEfdWlu3AxyBeXVBYhNI+wG3axq3mn
oYKY0nHeQjhEPR/v8cMPF01nNbD9PDZ02gszsxprnc77qarRlEtUNN/h+0zISaZy2LiecgChOg2J
x0NRgH6Ztdm76Wh6kFvQrBuc8ByLahRml75xyaV47JTdXi5dJ4lcB0xEKqkI5XWMsJvAQIgFECHp
64Or6oDMlcM1o2glbuescwFtpYpQAl06ubMdpQiJSW/FON6RXBfGB3yBPfqbWadiz90oWgJFm+xK
Q9T9XNVJcXJaEtQAoNL02RNhCw0gxbIC7HoFUo2iXUlgo3dLAucRLau9McgfIwcNZqreFcHAOGBj
Ok60leaVq8vHXDk3U0pjME8IklJJe6AdiTCp1S/zGhEuYpG7wRyewlre96W9nYWcrxLPPFhFthox
m3MahQGQ7KMdX9rFUG/Y9zMEUYvftRW3zBitoCsw8EZ6Zt4ks6n95HEOKrdcM+1vjC7RgnJyb3W9
qXcI8jeo6PUdUtc64Kc+04SkSgbEyZ8RbOKFZqS3StePtU284Ni2GT40R/oGIvqgyrQfMsmze6/G
z2dr6sYFU67WEKhmJJyP9mp0AFLHvNSMHwo6b/ssc6ipczM6NCt+1rYLOgizBtG8qJQ/L4u+heCu
fZOEIqIu2k8lJ+zFpMgZaic6lC5H2Wa1LUvy2YDiwWwNkQuvobf2V2+O7skNToIEIsx+DPOaVybd
ZRJnkjCdjn5I6Hxf5II0QMxb4U7qTBWN3hxrY1zm4XGwnHuWvssoxbVnNrNxkSXurius7ZzmOTRO
w943Hi7T2u336OZ/5A49lMkmxTALr814JMeKWMwdp4MHbRnEzxHj5VO/RM+vdqdftMENex1O/rXc
u5Khq4AJzbSPKcFKk35bkZT1qlNLhHfQInRycZEatL5yfFjRVFvXMRSLxNeY0ddbq8nUpV5NyWOU
VtTLIGU56xX2GLNOdjZvHbWGd5Made9toymj/gWV5JobbPUVIieSKT9XbSk4e4a8z6Idx9CnAe/Q
i2WiZa8EutbYTHU7XGQi7uN9HBEEe2yFxWJR1uEJfNQw7KyX1QTgHytL87LKQLfMT0jtYiBw3ewY
sAHHIYjblnNPr0tt5yKpv0P9CG8kp9lzxNfNMjXaEXg+kCTGGicTQ4vOQ7UbASLselrfGzMdzrqM
x5MFExoOanwyw5ScQAMCSWZ4cVDg9vCN0rM3Q2/eLYXoSPuz1Rn16iqgM4ikHzp8g1WCaGMK92ZZ
Giin8AoKtCyf2iFCZEgaGM+qIoVxrzLRT/t0qKjA7SWBEhouaxinnrY83dJlFZK1SLP7ZFYCwVVD
6F+ejgQLWBMMes9u6eZoCFS9CL5e4y03doiBU+nFVVK16QmZlLzpZcmIwg2j8ncWBeJYG2fZWZyt
A6da2oQb2qTXQ927P6LO6rdJmd62eWUQxUUIEv66VFwSAZ6B+Eyc1bvQ6SlWqGJJzoVr2Kd40jBQ
u4W2d4ZYwioatL2AXXITanQlKieKvocNcaWbKWn6r7PF6gUf0rgOrR7ezEAAQSXEk8xDVD6TwrpZ
WXgfjQK1QkzUc2IZxOtUWK0bccFuR+Ol14aTGzVuYE9tsx1juAkKwUFLuEXTzWeOhI9xhOOZK/cl
5xS6kRlduyrCmqK5NCOMWjwwjyDwp58OraS1Rt7e3pvMH5EuRtjZ2vfGTMt4U0qxx6p1gXsuiEV6
zg1xUkX4JYw47zXxsRrGJ5xgzKu9K30YSLfre2s3Lf2PIp7EFWrJn5WMvMuMpn0gHL3dIV50D5Xo
vnEKVBexizpQcZT8wVl9vBhsV90W0LaOSlkLYOvEJekzc/fDoL5TLFpYSMwfg8y9HeGCto/40w0K
kSQnmWr4Vopoj4xVXBELeAmLbvaRfALJLLU5MB1R7UwmuH7T0wkbLAKUcYH3AX1JGk6sVnJMt52L
eDa3dxj2u8uFhOmAXLZ578gaFOhk3EP+my6J3k6OWCvKM/Njm+JD2FfgLMVtRgfkhvTcrekNyVHr
wNNEIwzaDaCB5IK2vAHPAQ7FTxXm4KV6UT8DkkHinNESlv1SBfAgQEshRwc+ZUUBkQ5oRMcpZYdd
gVXTC7vKnmZO6XNPQ3FogVthwOhgM9KsAtmXps/xCwurwBTppz1ygo1loE3Zay1U1m3VtMUpXPfo
dt2ts5eNu37ZxO2XDd104JYe3JeNfnjZ9JeXAqCOQoqB6aUwYD5GkWCv9UK8Vg7/d9r634BnqGuF
kGiX/ufD1v8rf/w7PO0q+V49fWv/66jyb+UP9foA9u+/6c/zl/kbkWc62x6KGVgsK3fm3+cvA64e
yVMeNivLcRkZ/zUS559wdmfwLR0m1bQn/hyJkyFEEALxQQ6RMTr/xT9KChJrB+Cv/Zgusc6bzzfD
ss3w1+Vve9MhwLuoGMcBoIhH+mqpBQuidrMttR/hWwyNyTXIn1HF1P7iZU+VUOgtab/SAaTbmlR0
Mt0S0BgeYj8ck89DhWTl1UX+Rc3wvlWzfkXXRCBgIQ4gPm7NlHvdxECUz8Exi9q9W1AFM8qhoR0z
W5xj7wxl7Zs0pytb9YGKDLXJ2E7+Ya/ozy8gTc/gUnFeftdFMZCzuSPt+D34QLbpZRp8MiLpQhIc
Fjc1waociciMQRQYN1BtBd/j42uwdqPe3SXXpuYWEhKj7r5QGl+1i5RMjBbySLOnqmdrFs5DD54l
IXTu489551J5eRz4IJuPQS1B5+jdT2XYosCpVc2+rJAPdMRo7pyufqyawtt5swcxzAYCTNFhboZx
RD1AasBZm4xbC1cPhkDm0aZmht9USj5FOxn6nZmxy6zvxd6zpvbYl2ymbSGzrVajlcVv5qC1rutN
2w/dFq3rgsfCuGk0IhjikAs5N/bvKlRHvWXMLZMmvIhAnG80o6ZesZb4cg4/LaPkaS2Wh4qowJ2c
IFRTtD0LcwF9OORPpcaoL2/Dq8X1fuJVuDMX58vHV+5tXbteOF4JHZEHbeNV0vqun+gsJUOsBEWC
RVG+BbPye0oWrCvbzg8NSGsSCsbGaQbvb6SH71t8fLC0TND/ZOsYL8vI27ejwPZXK1Twe1fF+RZu
H/49yGQHA/kDNDpQO5AKBvzvBrnTMy90iS3fd9ySG5pTxuVxtOsJnPcth3cK6UoWeCHWn6oZSRbk
DM1h3qArTyfQ2H58zQy6SO8ea2njXPOIHSIU1dHficv03pPD7MT5niTKMkBVYZ0QWtS+OXh3ODGq
beYwnu/CroA06x4HUxxXAxmMTKgshX38YwGS066yzrZjU2aq3twgESDDAyv7xs5B9GBW+f7x9/7P
ey1tIF40rliQLOmxa7xekJh4aMw0+NpQuNdsFBYFgmuyPy50a9ceZU4H80Tmxt+9n7+4YAyUPJuu
2S/6ub3BgKf32nwfDqr2h97DNJN0Kvj4963N57erDXya1dTHyR44sf1O5F/miHo0MAn7eHbKvdPi
fm7D+OnjD3HlW4X/+spIJhlIIQ0HsASSsbeXsSpax4mRviNIyZ9DB6YMMzVETBEaG9DlvOSeNrK3
DB1oSrEgZLbyZxHJhTTPFCpFH7PvzJ4v5OD5BTrfbbxE+iFXPORZOho+4uPEN0uOtLY273QbTMs0
t8dk7N0gmzCUD2ItZmElbBN8BVu3svb6xPpmickAqOlp22qNAlGxJc7YKiEK9bRAvJA/LxtagvNC
0pmx8P+aadKIy4mgADEP25U95Vrs1XJnGLCmO4RHRo0tJOzSJ44uT1Zq3hb1El6EdeptpJk+twb0
UtXHjIy98qBNHuBi/O27HJUFha+76YEibTBAIYkYmOC+qGvKSHGcqfMne+AZlFn0CbvlsoOG/RDz
cCAwy/je5m2ZeGid4sHYmkb3SEQzTPd19Z7nTH2pV5u/1Fo3mKbS8DP4YnAkU/lN6MCjW8PBRzQm
TwT4uIHJKdOP7LzxkaZ8LVsj9aO+MO4G9N8bsujZiBdb2zp5+ixifvTL2KEo+L5R1921RvbTztg9
R1xnEWdmjmIs3GNfqy3luwgQhTEhb7VHRwfoIMPW873YdAMLPJ7fSxXvWMvKPYiAJ1NyOxCF0S1Q
7MD5jEuHnIUzKIj7VHgPjSoKXkPQVNDt4z3Fj8nGMkg/N7k1pSI6KFmY/Nb9NQXGPnTKJ1Ds9Ac5
LG00h4AOb+JuFvMqZ1rRnS4nk6bJn0uPpgGzPTQIw2kpsuecVJv9REpHEMH+36ixsDajeUkSiuG7
QPwCkFNXWQi9WjTsAcB/MlgVhN6FNc854dUaSGrqKxIRavBe2bMWaTyx3NnZiZ4RPfGvIKV+HjK6
tWVEQ8wAg0f4XvRcrf7ZMma1ZhboBmBQzoBYQI8ynkQzUTwBgsmve49MGnvQ3Hv8Wzsgx09oNKtD
POvtyQ6dBw5J/EbK07OdcmJ7uTFUBlc0L7tthmHMf3l2Z5QhL+hT+rx5x9Q/eXKB9BG2Zd6aLgD2
NW3JxeZP3z15ErgoGKXyLCGt5MEvp50zMd8XhU2LmGmnRyETNzpghfUVKHjChDBvVQcqwRooPnEf
LpflxM3qk7Xa0Pj7qqI2N27ME2QKbr/SeV3IlsdvaQzxedSxxYgxTPza5aGtuuTp5Yvzdali0Jjv
Uo09DVF2ezIsRGu9N3q7viM7qKmxzuUOuROV5zVbhsKG78xetl0a5yjsF4EaaoqkI/cinYYz7Qss
uRkKoKkLiRNnAdPUumA5dFAXfgePbvbHDaZPeWvkzWNVcy3sKX1uACuvNNinl+Wid7LnbqKOdgcu
Q5lGfADZF5suZwep7TmlndWpDXbbdMNhgHpooZ6iSnY4RosDA0AaA5ULRbxhVWKhysgHqh8tozq/
7E4wC5nZkie/s4QkIsxOn2c9BH2dVruCIokMo0VuW4YwNLqMgPX0Bw1Fqtz/Zu48duRWtjX9Kv0C
PGAwgm6amUxT3kkqaUKopF30Luj59Pdj7otuqUpQ4fag0YNzsAFJlVlkmLX+9RuLlVtSdDEgSD61
LeNDZfBzB85aOmZe0mQftJu/dNRX63E2lzwIGJ0350Optzle4q59Tie+W9I7kDbQtTW5fU+/AztG
sFUwF3+ZjSTdepK823zg5Z67iXgtWJxEGkxHWayVe3P+DWEjva5bokns+/UqcB3rvqv5Yud3UFv+
TVJgyGOWgIXZeOUBhm5xImTZgA/h+GIXQSX0s5kqcWXr9DWroxytFUsFQ4z535POUxwmNjrUarY5
UZ2FaGfhj7etN3fBZLB/U3YmEruFf+XhQM3cKCQzmreDNQ+D7aW6WqLS3Nkp+3Cql+nifBJD0qMQ
c8jcGRPYk9zxJBwtHiGO8D83/AuHb+JN+3biT72WFwA7o94nFSxPPLbQG2PBt/NsWHxoTaClmjyx
870iM75UuxbPmWPf42oezHE2H2S4AkszD3JdYdPCYRzXlOmcNHAoeFVjxaLTPgcP6hj4dAOnjzfw
aiQhOOe326b6OcGDhvRoTn26oPLQRPzAZqArOJ+/+Xo6hhiqHJicYRbsV9WxSdsO+ljyggG7xDOd
VW33bCB3ya4cjDdgVHHcpLXIdudyuE/Ile5xlLk2wnz+hFkIQaj44OEjQnFlThkYF2ul7IqX1Itf
AROfCJWYuTA0eoCBR73eNqHPuZh1bIEQ/iORUA5+Mlj/QoXKsULsdAYQAwOzr8tm7w5MLJSjE8IU
eKq2WOtz290DzcfMlCouPOhwN5ySzWWi4u6kxhIqqw2VdJLxtOvF4u+zfvRwRvbh8AH/oPIb5xHD
ExtFOAORF5xPek05rZL9ILAu67ykPfhuTKkxJa9VUz2HwMX7ic7qh+Fny6PMU3iaZYbLYN09pmUT
Hehzkp2Fq9QzCCieAcVcUhHLZBf3gmGKXMwjM5K9vdAmDQTb8ARqXJNxIHIhYBYd2TYz/ogjovZs
bqqTtzZwWUyd3Cz6RopYYSgygWv60QsDNdKCXAtf8QzFO6yBdp/BJrtcNNupLjns1zYPwikpPCLh
/4AQ9wTKxEffKJqbxMYwfCrTZDtWeRfYqjAxKMV/c8ojRY1CRGiMw8sGQnu4Wqjg7UbB1g12vRFN
mR/NEPcA1Dinzm+ec2hwG7jGy2aQzng9SPB8jADbA6AgieWpCvn4lB/W8cOU6PnZS9lvEiH6ve7t
i7wavkV5NP6TQYk8Fo0X7sYpxNnKcn7U7hik0fyjnyieDYFMLzbMFi4LjitG08ELsqDXpRnREI7A
DjUkAAzTMythRpYgckvjdCvb0YRSgQ2a6dwZmF4gyKJMNJHczzoJMEjF9T++RgZ+mVScv/DxPjEr
vdAOFCAvKYj58o1/aofF5474s1qTsIKsN77bHadu2gh56hZ1D2PRIqvGxEBQZrsyYhuYKfmEOhHG
EQ93fAqngl27dj5LBunLhM3HYZu8iqny93FM/SRCThq87udPslPN+oYXrPK4gVTphK9jalRbS3j5
55KR9qVazOdzrrAh2ucyBOIoskb/iBZfcbyVfbA4Lo6XFUVwjBPfHqMwfTLp4bJNauB/dD7HlZFd
SZN7LuJwYOLfBQYThkNfa/7V2tHj0MBxINmmXk0hU5riXk4eDlIlHEHNaBUvc5YoDfNBjeOLP/Te
IcOxNPZYMaGPZaNRDhyaXAXr9xw8k3E/h1PrCNpCbuuNT5ndi/gls6tnExR6O9jmfbtgyt6ZLis0
bqcLIeJqk5guLCM3usN+86qeoWW3fbPHl1hftqalP/VG9jXlTosIHm6IMLkYNYeaNabZNXMQI/Co
qjat31Fdr8fpwlwCuJ0bb/C6ej/a3hMpby9wgq8oMKa7xZ2YEjfyutbUNTA2r5gSO/SNCDI6a8TE
cSoefWsMBite9h0zQY2kw7kBHY/vTC3qr4nJsy8pkwORuadcscLqnNWA43FFgcUzLfJViKrIyKug
bl9GRjI+FQ1+lNg+UXiu4FUSocjPsng7e5xrYUudgw5iYnosLQLM/PWQXsOih6Gm9m47hPgM62l0
hvoAyM0gk/ykPBKk+/TtCVbca2nErxG3vdbcQ21p30RynRWvNzrM0oQ7In1p1rUasUxuQoX+IKIm
oLm2glTOBs5WfIBa78xyrmAgrV3LMgEQoanJdn2knysoyduBGI/biMgM5tUmL7vsykPXkxc3g0xu
fDOfbjP89B6afki2hSkCIzIHyNsx1R0dfXC+5RBPllcJ0+ot1gQ49nu+uIpqPia3WMNTLJdvhXTj
nzqZsEOEEgAC0mN9UfXQZw1WE37+4fd8bPkpung1F9N8KaDlXeXceufVT7+JsSARGTSrr4AQ/Fa5
8+BNCfIA675kKHSEK2Hu0hpHP4AqWy349kX+cI0VH8Bmtt6BEeuzr0hTbqmhOBSi+h6JT8Fl5hMh
KIx0a5kxrq0cY4CRWVC4uNJldndh9EvCiVtfztYChZFh0maGI7BNobBuEsO6XTm2m14RlG3A6sW3
EVSK1c4V1/OKhlLdn+9ef2Kfxip8+nvjb/8JXgBjxLcILwPTPI+IfwEzh3RwhyidswOReDTiEsDW
7rrnpgYUTE1UJoshMn4L3nK3oDwhH7PnqKk/280Xr6mfTC8h1Sum0V3LjN4lpdRx3SemOXemNS1b
WbjGEfuQfhePmKTX43DnFAYGgV5HAdxFn85A5rlHcoX1M+mK+NUhYnWL4fI9fM0SY8BOXFmMZC6c
eiquVu0WTclalLr0QB0xmPRLGX4MnU3tZZji3yasF9J7YJAJz1Vfli1hLArTPlZUUmEvIsk6j7zw
lAkx/c8hciYCuDFA/MKkHlLW71AKlErGb+yUQ9jSU3ruGF60PYiEY1F04anxOTkfvOD4TB3ZbgI/
xw8g6j+AYh7hzK6jBKIq8Nzfv4LEHtFOrKw/pG7LDNha4mOrqZNip1Ho7FK9jR1IPkOeyA/gKvEH
GJH2fZUbSg4MsKTfP5qdTfJ75vcHr4Hja3Oo71L8DB+S0YEktdT1tx47hiA0F5jadnpXDcUA98M6
zHISz39f3e/nKbAbTFe4cmU3wJP7/bv0Vm/WmFtnB2z4jWAFDFTHlnbbCa6nre6TiNP17x+5/npv
4DrwUdtVjCdMQeH9+0fKsoMxBSjF+F6S40YKSdBE/JfIMXhr9bDBm2vc4TWZ4z01FMe/f/ofdjNz
Ar4AEuHzKOv3Ty94qJiKGt2h8SjGMgCdbUlD8cEK/8NjBWW2oCp64J7vxlTcphbsRsKVFgEDtV/Q
OOl0+obL703r51/nDlLx338v8adfTK4eauDbAnR/XXW/HFNNqSPKkqJDXpi2l5hzoPPolD5xJADl
jN4TQjU8HkzQM8uJXoopnw/DJOrNFDW4tQ7JzyX//Pfv5PzhTTNHdNCvwhx+t7jQ4enEN2v2WJZ+
q2p7/uff4jdDMVblU3Pz949bp4xvVhZ5Ei70UezkyN923wDBveUaDuFP7cFL3BuNTndXGnYZVCHp
uCZVM0Rh57vK0081Tva56X7SCdG6QzJekzrws/NGTFztZPlAQr9OZd99Ld+ybZY6W9s5j0R+eTPS
m+o5gsBEVs8ATpNTPDsNRw3yP65Myzr1VXMVA5J9gXNQ76F0tNx0eEQnRvUs9AQwRR2HK4RlbZKq
RAbpyJsRL+ZNl6Y/nPZodxg5LYoSBNWVbOU95mCvJN+hvYv6NDC6KIhdkBp3YczflcyW1qkj4kCY
I2ZO/HbRYQsr197aNEnlCcnVNEMDUcMKZa1ju/PFhr21Pv39lVnvn806SbYB8B0fV76381xfDFNH
Y1gfopB2YYbMsnU7zErzsQAXQ7e1Rf2WAB0UKOKGwTz/mkCrW5U3yCs9F6gWfd92STXqBLM3Attk
SjSsdfOSUZW26PuuV9tv4nxBQqPiw/PsbIHw+4Hm4sZhORjvwELGIPr3nQeWwTmvKTYpSpECkLK5
A1MboQxqrMyxIIid4gq5qg5ECpvLyJO9Hs36g2P1/eLHQRHNlGUxuTdd9WbsjK+RrAc3IvCCzEpr
5MFYrISkHJwPPsh6f9IwOsS5BEMlONfu25OGKUjYWHlWH8ISVDCl7hFztuyRjpWv+dKCcLigUsmK
LjdTvyYzYg1oYcO5RcMe7cY6frFo4ZOReZNb0O+hEHvl+WYBrCOgE5p38O0rHNEATnNgOCOkd/n7
wvvTS2OAxwDURk9Cxs2byXFJ52qhUasPcQu71cohT+G/io64peqELEeA8dj/XPulOQN+6pv4dS68
D06s9wekCy2CeeKanPX+msitvnVr+J8HU1X/SH8mq8ty+LBcYxA/f/Rp1vsJFgJ2LNeY+6KwQKv6
+0KVUKngt1uwtyioEFhX824dSy4trHWE5zYALgU19mRcEZ6Kbouleq4IAoABS3GvzOil9sR8natm
OQ403puMCNeNQkIJy7odrlM53v79Nb2/R/nGOCpQEDuc6G+JBNqeXDRabC3XIA2iauuOEAgQiN6k
fwLKNneDmX8wtPxDwc+nsSKw0DI5tt/upJzSYawaHHLDFGATGqyiEZ9QQldqwtawA0+FEk1H259w
XnAufQlQuWKG4O1GUFhEEyQlEELIoGjXEdsBECqxrCYVYt9QzdaSFjN2aLvRjD5bC/XWGRMpBY2T
xfh537nraZbY4LXr+EVZ5BcjzmZ1VjI+qgUXmCjDJg9flk95Yy0bQZDGphYOxsMMHfaxuxbz4YhJ
wTqhxGH1fhqBVM+zjSpHucfM7cfaCTtJx8dNJhOK8Js0iIuo63bc429T/t8cG47EnoWHS9DVWwlT
7S1JrBXHRjR38R32T4ACtC97C9/vDcAy+jdFk5v41guwOWi2zYsuR5iLY2/lQemQ3uMiyP/3rMc0
mNHojE4cSV0NGbuzvp5Hm1BAfTg/hb4oGHffxCkv4e+L8n0B63G+UrzCOMGXw35z3utIMYLVbnso
XS7jfsIFDIUxW0LFw2Wk/WLro038qrzQhUo4ZB/cmasC5k094VnKxWtbUbAL8Zbf468piyOM7YNJ
CMuusvR0hySX9MUcJFw2vvpc1naxTWScnXocIzEi5IacDHDsZP0vO8N2oDfdgkgNlil3FxOlld7u
zOqbKfqLbK6eDXz7tuf5A9CGQC3P8DoN4jDWz3a9TgMQIzBb8r2DWawY37TCuUud3OtmVJ/NnGBc
07/SA3JI2yGaZl45LxCCX/kfQ4/cMP9RbZofSg+CTeYybvz7S/pDZeGhDhQeOU3YtdjO+hR/qboG
ZnVlivT10DCkOA8ICrWOhAUToTphGy5dPqKyXk6TmZkYdlMxhMSlw5BaA6GAKM0e4pT25Zbb+j5f
z7fGeVLpkjAXr7+WTPR30cwswsXi/fD3b//+3IMMTEXBvieR612P1OOb0BKlRpqXpw4iZL64HhXZ
DBx5RqPwYP/g1HtXPLusKepTmjJoDlzsby5EnCjDWWd0gkDbxJ/W3WroxHV8nsW059fbMxQaOF9g
ckAa6dcx4NBhhCpxqgp0g2rThsyygarx0eHx9qI8fzki7ST7bWUNrX/+y8t0Zi9NSf/JDkncgNFp
vgO+BkwBeE/5+lT+/vj/8HHrFoepJAXNxLtrJ6tt1OVVdhjtddUSfj4bFFSqZe3QO37UEXtvq2Dk
ZIoTBUYnRDZB5/j7rxfrgWmjTqD0x4R6+AlGUTEpsbuJBARGTcQGjBkVSVJG3BmUoccE+cuR/Aci
GirlfhkVwfbp0OM729+22LwGjQOXV40DjG/26A50pb3Mvbo8+COuEXVXJlelTH3YKhDrk6Ujiyfh
hyeDhq1vGPfEs6antC8Foc5tszMINt2hKquP9DBEVxpVMu5UZKdbE0+H04SdCIhkE+ioUYcCG8wL
uBwGE5Xstp1NtaVtkweccHmGQidYlxop8T1ZdFvSJ+8XNBa7vPSQfMb8ATEIL6IGTBVj05OR41n7
Ig9TpLZ0auHq35tR0YEIamB1UogZ/GaFvICgasMDy/x05xRNuS9rhWd9qocRpkWZgZKF8iDdBof8
hO9g1GEEvvtYd+o2ihNrZ4AOX3qYhAH/LOIbLnnygFzK/mCjybeFOuJoijCMrmmIoeF5KzL1y1r2
I6yPjJxbHgaFdzz3PTKHNVK2JpNtaikUFOZt3TTlIaxHtZVkIgRWvb5A5OA7TyMmgdlDXe9qqPZJ
Hv/IrVTiE9KQoeojr8M3UiH3wp3V44DcqVKXe4YIaruiEntPLsbTXI3qyl9/fFp1t11sPUEXV6tb
BUwSu5dBrwvsPdPW+wBwent5QftjQ7GDqWM4aN4qiTk5BUkgmYdQmzC1eN4AEX2we98enuePcGEY
2hhwCdt884DpwmyAgMiDMJDWuwr5znbQa3B5vVg4/JBDMhvGR13R26KAD+XsVBQ39BMcG29OKJLM
nNSJtUsyuNsEDL80qXNmw9gtIwpcMtIzpN2eKm2GJMKTaPb3E0u8re1dyT0Hz48CHjwVxOX3VTU3
BZr4onL3vVPjjTGlLW9bLrs0XT8wtP1T7XfegdPuCdghO+TKGT79/TucGXC/NsLn7wBEbtHLQPpd
CeK/rmy2jXYtbTj71MmM3TA37RG3Mk0jvkaT6SHxt0lhtt8ncwlveJDqpppgnZad5RFk5S47Us9Q
p4wq3fc4DD+brcWjbFqqu7jeF3jRPhAj1J5s7fLrdDHht41yrtx6bD5bEayEzYTI9jD63Z10CW6J
ByP/oPiyLX6H335HClggU0dKLHYld/Pvv+NM4pdquEL3PbvqapR62pt1JLY+rikX51/Cx5r1zhwj
d7UWIfe4WfC3Wsxllwu4Iwsl2E6CRaBJDaOjH8UeyqLUYF+bLR7U1msNF+NoEPC27YmT2SWRvM8w
kQhqjQh0WeL2mDdImZS9eAeHrC6m2jg7rzZO9uLge+R0Cwyfap2xl8a+qPG80qutO67r+0w3LRLc
xcOCaoBiEUcPs2EbWycc87t5qT8vOpUcQv2FPfZ8WWXmq8vVcG0lbvdsVOXPvy8Z1NfvHycgPJxK
FyhYvu21at8PCRmBoBFlGuykN/SWvLSrJBofC+zR8S9WAsNsoTaJQ3KoBeK1Te3aO2aYGm+MBPQq
Y76MbTfbLCUR/BKdj/m9mVOX8bK/XPJTnKthqHomwqo8AiT1Gx66cyA79MeS1iSnpCFxLx2UPbtr
1b6xmhJSn6W3hlN97vO53w+TQYDbiKP3oj+qbNS700oJem52rERMroBLf19QadIh5bVyey8GLm8P
jcI3axoZgvHFQ25Qzwr6CoOVbkRSLI0Ch/eliS/xCPJIhEiILIvJxC3yimD7aKV3JGy7DC9zom7s
lATbsWZhOpGxI21m2ZmaNTLjkLQVCRmJvemJYNb9YZpjAZdAPY6DfFaGQJ5FQEsYJz/pdXrSF3R/
Sbq8e4wgbVxHZeLdddSTQZx7TeAPOe14Gde7Ypy6gwM2cFCM/PYMJlnoCHqR3+XyAwznT2uHyYUC
9Obse1cUYlEWM6Nk7aCzf0Vt4N2te0X3pIuPIho+gHHddzeX4hVJGGoguRYhFm8K5KIHqzL7jhMW
OtUuZQ79DLEsvsS6TOC+V0x7iXD+Jna6+NLyNAeepvwSIw99GhoqeLKZtkwTvwx+eDVGznW42ASX
wfKZnIsZ0eiumdnXQwrllb9LWt/qd+azLnXK9WGN7GbK9teqbZZ7a7XzEg1pkaKq2iP+PILJ4VRe
pa3pBBnOSPsYSvynccj1AwP/cCeseCB9OFkQL8PTyJQA4nKWJogMWhvIXP6Jiex9hz7m6GdEHxeL
32OzX7pXGnXF9WhyLLd1lu3b9eswMc3XQnz4ZM+srXbgmsG7yCu2tuWmhEB17MLOIJ/LrEwFtmZ+
w7EuhyIjGGfHJODtfV0AOw+RsW94kOidhRPEYEFUoGyI5YOq4A+rhUUCFnM2j+CW/H2ftY5D5GQE
K9bTkHJSm+ena5vLqVJoO202xN+Ptvefx1QRRjolFo26/bZLd7ISZvBS2fu8wJlgqNkN0Ob8E5wj
klMX0sj+/nnifWFJ23Y2labhZZjnr9/ol8LSg97WWFGk9vCYZJDMMEOF8JyrpGAQVS5mfDn5OCRF
LblsaImPmG/yHtFdBlXB5nfHklHA6Ibbic6Z6AwuKnPgVZuVQsLsiu5QN/wqiVPph6LluLbL9XK3
Q83Nk+SoGavv83qMRKUdwrhm0Tki/w5/sQlSB1ZoWqGKj8Amn7CDbk+L413nQ5ztmTK8Njj075bR
fs3c/LsV890NXL72sxcul+BaVoD2F2Cl0k8ExHBSGZz856u1zii1tBfFzzDKJI5kEO4FJF84Iuwm
3+eWjFmClxVC4suxU92hctbbFHcMHNmoS7KEe6Yv+mVjrnt1tjg/dNHPpAxzvmUD63xpWOKZxi8T
Vjx3T8axizFb8znBSGjPc5MYgfGFatetdiAuy843YqYAM+7r//5pznrHs9nYa9egm0cL2+963Gu2
E9SCzbzeumlstSeVZC6bheMiESP1QDfhWIld+CnuTO9aNAzwexwGT34XeccWL6LrMuavmBEVRBn6
WG5UkL/hfHcHbAf1TSJgEZHUWnEv8GsaRM3eDMaCEcgg2qCfK+eARslHoprw7HLbO+SL88mZ3R8F
fN0tKV7Wid05kJOayYATjFVsz4hsm5ySJaGMPm933+HxwTTlEwxugdqn0okLnn/sy46mnddxXu3/
z1x2/j9M3hKkYwlnpZf8RdOp+/L7j/h7/r/u9Pef/7Txr0rO//MD/lvK6f6HPC18ozxp2Zhirx6/
/y3lFP9BB6RQJ4q3WVz+f7hPHf62hVpTMd7530pOy/kPk1zMkPlxIDGoG/8n5sY0Fm9KPygQ8MtR
jCIE82zAj9+PK9zX6jnhUjrphMjEY0+E7q3b2visyhCfgs009Xl6JHyx7jdureNuk3hlj8eGG1sn
cLE0wLZBn5a4tJ1rYaKQ2QwTOYEbOCXJ1yXBjWsTeShoAvTf0cVSOQhdbE0ON3iejG4q2y4SUgDm
+quTm6QsViIp9YbbPKKPxhvOC9B3up/bkSNVdC4JMl49BOY8WtDcPPVSL3OWBSEtCPNaconzXWnh
SrddRn+890WfJkcM3kiEtCZzto7NlGqkhMsA83hAaHEniYLHibCukX7MtoiuS1Oqe+q8OtxkzeBi
ApGOtb1tjIYILukV5muc4GgKXcJjpytlqIeS1E70aGERPTfot+CUeOH8QzpGd1enebgyLst+66U1
QUFSq+F7nLbTyfYwF0JM4iRf4X20Rx0qLu6xMk3mBI7ejYXlnIToYDWX1KyrjaCFLy1ihafOseZn
xkdetykXK+yYIFcYFnku7YJcNDYXak4x8qixn7nGk2e8HqfFuJRFDiVxUXjayqToxaPFHYWhDF5/
0Z5sCel/GbqyOc0NyWpB7pOkg81OZDWHeRJGlW/yqNPJqWlb27zFrGass6BZZOvvU3QQ3lOLPGSt
R5juhsgzn5l9oqWc8cTDkB7bi7hk8F2PAT9GXUpfNUcv84r5ViAiijAIjQk5jFyPyTNZ1eM2HXGV
FWFJYFVvTg9dYr6mczMHZQaNauScI/INdBgMydroRlhodVp8dojWvOFqjjeFTGykD6rbJ5mYYQ8i
P8Cp3xnh4Pq9+wiwehprQ6BsxGTwwsBdKVBp+EhpFd3IfPhi1ZLOxmEKyvqA0Gf/FEVxKgd9Gqeo
JBfdLNbZjrVdOcyBBMC7jixZXjgsm4dC1sbJmYZsm0rFoyOs6oDYaJVC1xe9A9kgMvBF85BJLqGH
BZ5J+oQiMYHQ5+YqjwnCs3D2+KmGNj94WGV+STq7vBkkZk39sIqo/AozfD8m6ndoo9vMq91A5n31
4GIQccMclfl8Zi/BwoRtJZSZ4aconx4zbJw2MwbDp7kfF3xnXH2B4Q0UA78Kd+RsYwVapai2U/nY
VCKjYIoQ40ZWuHfwRAlUOWYb+FRiM+CDlYiuv26YDzfw2EFa0tnun/K4vhtqDbPFXIj9RF9C9Rx3
t2GMV5O9zB21Cowu0pmhVllcY5iWzsMDTT/Bny4mXWX9T98TNwu/YmOHyFPyrusI9Wzd265jl0We
AVGPP2G2nZXPoLk1h5F8UgPrf8ax1S7Cn7mID6Iv/TtuWvMfnZJtrqv6snbcHlCTVFfTJ2hMZ9Or
W3aXOGuZ22Y0ePO1LLYGXrBkkWLGu+R9B73BRsktydqTCc3HMlftVRobLqKwIt/S6E/b0XXh4s72
8mzwvfdpGi70Zao5SALbr3F3gRHuGeMj/OJHpwvTi3w1y4Z+OtAdajfw1KSCTE7lvW6TNhC4OmwY
BS838JZ6RV7XRJKqCHG4Aqjtd05K/NBWrQHec94YJMuG1vw5SbtqM8twvPH9rA6czM0CP7btH12j
X+tGyp3Ze83F5IRyj9u1H9DUJ1vC0oo7m6gvFHeYAU8wQ1+quiz3Jr0rvzxRd3eqMyPIuWQLsRI4
CUmrbwN7brwv+I5FP+uMHPaPmoXzEO9XnAceBzNK2nJmwGvb8AaSryrdxGlsxifPaocO96OxcHZd
Us23LRqTT2PVKc64CmXBKBv8P3H5Kp/KxphBT3Lxs48aP70CZcVwOutsOAzWaqKp17cPeV9wTY0m
/vp40IY00Ax4iZouPRGf7L7wxtsJ/T5ZTNkyfm4dmT3MqJBkDrzrDPZlnSze9bL02V3sYaypMPBt
odpLSaab1bUv8KLXwix2vmTtjFVSmc1Q+lz0yhj88tM3oYtMwQ+z9jSO7nzoOd8vl8iY9nmM/GSR
w3Rk8u5f+DPgOSZPy0bmKMiAF7rPBI3UO4fQLiTwAOmUshj/dtQhDKFtLKYn7i0MwUDioTKupl3L
fPQcbVTQifBazQ+QWEktmZDeHbU528WVqxIv8LUTbZi4Gf/A8Jov2tZSJ+xommWrlWk8YHtSB1PV
2TjEt/KulXH0iOI7WKSmf0gwYxflskpkU1HdFj7mvh4c81sosvaX0qhxe5ZeQ24ablxxh/dsZDIw
rc2428vIe4xtr9y2KETT+XLwu+9VJw59jELBApO/qdOXYaCLNoR3VQn6Gxugc8dEqn3A/g/dWMWD
o97Ylj1u5BuQdeNI6F3ynXIdDjdpi5veHS46o3ywxj65icMihvwtnTti2Y8u4OyJayUDg3Lyz9qt
CaZuwchPi9vTe8x1OwSrocqam14+pzNEA9OqX6YxtrdaK/RKCxJcwdq8bdxGPCaR/cOFqvBQxew8
WCz9TYtvbrTHzqc1th4N23LyeqGINh1wff6Zz6p+Bg8GI/My1ydhRg32Tb3Ug8WhbNvTF3/B9nbn
F2b9fYan87UL6bIebTyLSr6f28xbh7HGVyGj+MarO3mTxKXzMqahu0p8mCZEpCu+0Oph6Vo4w7gt
RWcffIMgKjd2EWwWqfMo8Zv+IWFfbHCPwtO0nPoYm99sOdhEf2LE1NvXRKzq677q/YFZLeHoduFF
D6bq1HWect40zcg935M34CiSQB3H8J4akI6NSqTznaoW92qoBZE4jmaTX2BIayCfQ1VjbtrcyB7G
shnHLWMumQSmzhKTBmjlxikKDrxfWT3NPpumeoc7kgNzUi99s2VuGt0UXeTzOK2Ua9+Fxs4EuXmY
q7T4suLJ//SV0x8pvTryF2XFTKduUowSmfSwEfryWM/+wunnIbYLRmb2nx0bzUY2Z/KmUsXwEKW+
/9y3dM5JgWFXo8PoYTEySh5p6vKRr5E9iWXh7TYJV9OicvPC8cbhMm6UjUDca92rOMuHcqvxqA0w
xWgDS1tfZ5RSFwAvqCfMOUu/5l3iPs/h+IrDlYHFoRiGozDLvYUZHyeWndpYy83TN7hZOiYTFVoU
MUte8R1t6/AoMCJ8DieX9E2rGPCojlrLw5QKAdsRZEh+WzJ0xFxKxldybdOHRIT+97ptpiehVugK
0D0Dwrda6pJSkKKXmkMegEFb0UZUWb9P5OL86B2VHmsDO/dAgpdPgd1nPfdqBWiMl2I3fzM9bdzA
sEMLWIap9DdWGWaXhkqba9W7484k0vSnWWh0B2bXel/o2DEmSn3LkLhiWxGdBq7fz1Y/ziQ71lNS
bGtDMxntuCy+gh8Vj/boZacR734483AW0eEoQDAVlhhT+FRim3Hw2wsOPYxezHmY8O0KG2y97Gm0
vnUu+fHHSY3xy5xWNM0FHk8kURDq0lghIpo8c9vl0qPGNkWdRZfzxPGyh3Xi/oxiuP5h4vQXcWrp
7MBcavmMbMzCs7EjTRL3UeNT2drxXeeU3ktFhsIjij5AxnVJ0jxlU84iiNiEeBsDPmLN1aitBpu6
QjBDsBNaZfqfqRixL+uiIt8AW0d3SAeWp85MjNs5nTjsXXP1G5uW3Hjt8ExDTlZY2Hi2rWnfLH4C
iMdQc7huELphtiXlCzDjjEYvtZp/yNTMTqJxQgJQGDQ/lxPI9T6Do4rfilKvVjLgTwdY1wRFlyC0
bxJ3CkLiJIeNTrPms4DtuGaGT0UAkcSrNlyiY+Bn3rzGprQTs7546S5bnfq3gJX+A8+nvBk7QdXp
tPpr0Ywi8EIM53bM46waI9Om/lp0VddsCq/r9TY0EjsQ0TidtDLGgyw4AXapDXyyTSGrRPiNTdUt
ou/ktk8sbBYN2XqbUUUS73DS3La5mw/IktOss7ZxosCFSt35nxGNYVhqV+4ngSHYC32MrLBwTZTa
NOXszCyFRN/oeZoB2jo0WJjpP1um+TgYXfNUDA0Rwz3cn1ucHczqbsim+IjHuP0d6a/LH815d5NE
1nRq7JHkrclqn/tGtq9TZHrFzhgrUi9MVFuLSqPP85hzE2WDG5/IaYxh0bpefBkhTsv2FMLGNVZt
lr3vayy0YxAmRgYyxpfPsS7mUnYa18bcJOAFizlabe2NN8Qn61vyViDwEqWNZ0Ex4VKq2pPrDN5X
bHWmR025Ne0E8uMTrZIT7cUk8xMc/ELvu2YudkvP6kT7OFfubSOYv+yQEZhb/J/ng9mM8vswl/qE
IwHJCyKbNqPvzsiMtBrJC1Y1FVgMOBlt/MaY7gxN+nSS2+MPV0bdz6jODShb/8XemfW2bm7v/asE
56JXpcF5+LfnAJWoyZZt2ZbHG0KeOM8zP31/lO3E9t5JduKNNgVqHJwgkU2J1Eu+az3rGQIzLhAe
NmPFynNiRzvbIF4itGIKpz+3G+JiACC01qAsCvortw0iacIlJrjHsrKAXjrz8PqIm5DyN+fG7qcu
yay2YJj5KhjqaqtqUSDhCdGBbIuRQr60i5p/AgUkPzYFtVswxBv143V3k6WKE57GAl6RlEHjczPz
xV6xeZ4r2DYwstoQzUgV0NAJ+4suV3vqC+wI8b2gKoIII6cz2NstizmyhkmWV+7DUAzKUWliljpD
ZoKloRW7oWvHTB6P4F3l+KW2pOcetlEj4KmKtbo3Qzva32UWZZtYB/Fll1v5kxa25koUrORa00Lv
Chu3up80stguWlGQVqkEoKrrXb3qE8+c4g1cP4dS29MRQ5tE/BoTiDLNS7Oxewn7yKrThAVbUm4z
Y6CPE2nGYtmgzXcBUyCIGdqDCld+1PVl2nawJJh/Mk2ka+mHBryGeR8xSMISZLhoul48iUBnbJnY
h4nllB1B4l2Qnpe65TykQwZfXivyi0jsevbssqzndVoJ9IuV4p8PgFIMyr3oWrWE5iQi8XqbZkYC
H2xABsW1Fk99A4adhbnmcRmJ2mHDDb/tK0r/Qoj6pWt0OEz5HR62ppGcanKhbVn2VMKBeiiBaq86
yalu3KpRj2JdGo6MQYJBqin1CnY+PgyVkizkMJ+UhnZBTV6cQdvOjzBagP9TK+ky1H39VuSbu3eU
0devEbV546sk+AxSuM7qxN+URk9UBIJXeMyxO2llcIbSkd1nU/UuHUh/SxVz0riICEYxrHaa0meS
kqMVZL9Ut1aDPwnGpe3C8qxixsgI1T4RPJicmtcWDyzg5axdaaX/IBlMBkArMFsrgmwC5516QK4P
ZSwElzrxrkeOGZAsnXijb3AX3cEGTo4HFeNmS6FFYHcolxBYqiUzXOJoK5KQOZ9ybviqYsNDtFI2
z3fg6OalXXsfY/YNK0LUVEjqjONVnMElSf80XBV4/CYtD5KV3PgyZedYpZlK6p5kbaK2U40l1E9h
IkiTrFaw4elrY4WxnPOnirdvBt3wzHGS1UZslX8o5idtSlE7CEolo1v1hY6HaVndA423eAM1qlWe
mmYi6ZtQRC4/wwilPW/6lP4Px4mK8WzD/e2pzVXbYUt+3fRy4c5jTHklTAe0ON/pGoxgWy0F7TpH
hbthqM6V15XoxszJwlX2gFzcNtK9gTc0JuF0jdfAH6QwV5VyITet8FB4DoV3bbqXhogHK14nLobQ
vjKK4Rr12BJ9QAEMF67NwmWh+F53Rsx6gIsL0p9ZP4jhEdYDha30qUIhobinLbLbaQVd6dww4v4I
brGCIb/Ldpho0VzpohtZScWzSnYPjVYyp/IIWhojfJntkUyUITwhBfjehP9wa51ne9jT3UOgkL3E
52wPjMpqbjxi32RuOnI3zgd3kK4hEub5JMeIBvhrLNi7SqvxF3NNnwzfqLvEp4d1Gu2re2lf6Vv7
qp+4dTqA0Yz3AeNunp1MwE6DfZ8gVamydJAGTCq0kjJUsrGdAE3Sd1AYookWWuZKcORLBiT1Kutw
ZsbmXJuFQ69NhMBKR74CPQtcBNoXc+xk4rGnQWTPv459DmGblTczB/bnIO3x7pBaOqKxNzLHLskj
StUuslhbyHkBRjkiolOeJsJ9tG+yurHfIshXv7fGHkweuzFMv7PbHJeKfgqWQ7uWWZ48XOhaGd5q
cpTtSHUWMTbFj6gjxzTnImlppJ1UhOt5i5ZAeNiCVp7dFE6mJ48CNsD+zNNq97lSkC1t/vh+lb+R
ZQC34FiIPFBmPiGZ8ifuFl7cQYNnRb3yqbWOM6FzMa/xc7sslHCVxKK5ys0ibqdOnTqzrkhPzSh1
1l5HsNZE0FsUsJWbg6YNgmuDACQYdxNccU7Xkya2Ck56w8g6ayaur+QXaovNQyaTZ+72fosqtzuF
aHhKtgqyp7iVmrWEoK5ioNA5D/A+lTnGkjqW4Hl4htNaB6SvB4eKLl2QaASV0dlgUYc423EhZCjO
XBLdC+5x5QSV8DGNGfJsQRUbnngiKb/gdTVbdm7qS8/PNTw3dApU9g5x2WRGtNH1QNyg2YDLl6qa
u4V6lixcbHdwj66FvYd5C/aGJ9YJD5d8YxYlhixUMpWtgS2TsotFZDPTuig8HHIxzqe1hKMDDXiW
PBp1CW0jNGsKSa3ayFZTXg1ui/Evts4jtyiyLdSpZGtEhnPrMVXAUJa8rWkbp8XcqUJv4SPTD9l1
VYOZRVDNA6MfncM1bjlVh4XYawXeBn0cNI+xg+cytrSis6ATTny7K61+JHpCMpwYdWMtdbFwzpzG
8u5jfH/gXbo+AWOJcN6BjIAU+ISn+1pzGAUwI2TRl06AFgdWJUVnFFjdESRZ4c7CC27G4Srmw2Zy
HvqBKYPzZvml2DvcAchMJ01bgZkxyfHmOkbliOK0Zt6jNLttZMnfCmSSXeEcnRBDych8mjY5j6au
Dc6GsnJtrCCVI42n1FQ1jIp8NtK5WhcDEwPL48tELBHEhJ4F6x15qXroK6Ia0cTozhqJlLjQCczh
vrYCZZ3F6QU+xtjbRAAU+n4ngtylnmHq7R63QxfFwDtiTcIDkllzk4QOZoHZOESS9vMkqerqYers
50ziOHIqQHUHZtrjJIoYG6ZSlt+TxKMn8r20n1pZzK/k/SSrhOoyZwBtXEX7SVdCRrs2gdU7Wjjw
9E5snm7ZrQu65y8VaEvuCcJkSZyN+9ijWrddQfctkwRYjdO2YBxoT7Ki4//pDBT9GNc6vMkjnO/a
VpNWsKpIbGvIHcBz3BqAmvCmCoNlYOqkcvYAGJpd+FJ6pNQK9US+x3S7Ed4NNekmNzOovZW7xSjs
hpBubhA5YDKEU3LuDDD4G8uYZ1Jaj58amxcmpUedx4ioFFJtmYV9ufvjB5X2eXaJBSAparKq4ogL
cW2cbb6jWogg8yGQqLGyXMwjrNM8LNZZc7Z/k7804z72H4q0TJ+r//lhYr1PlX1IkfL5NPz/2aYx
//v8Kx/+ovzP/mX3KbV31e7Dv8z2hsNn9VPRnz+VdVS9ZdaOv/mjL/7y9CO2xVx4qH5/7Fs89bAo
9t1d8Xm4/fqXL8NtQz/YR1KDzaPiU/WRRv0y3OYVg50D+J5vCJcBvrtXm2JFPMDtGNnOWBWOAnxA
/VebYl4iUQYPSR1Op4Ss5i/FxEjjNvVueqCO4joLj3FSgrGNROT/cX3Unm7EYhz0C70t8ssYTvBN
bjDhNWWHOXZgFd0tU4x7J5SKJ7NQkrt2nB/qjefVM2JziZ0np3NmaIJ1U0hNetjEmWtLph89apFb
X//1dfb9FfTQ/ddvi+zHluLiKT3ZxU/l/wuLkYIcJZUIxeH3GRdUVbuq8stv1uNvf/yyIE31YAzG
Qu1vKnz7cDrfFqQpHsAZHLOLEHeIkja+8roiZfVAEpHrs1jQKNEh/Ea3kAyCkFhFuBsDuMHnUv4K
3YJ1/mlJ6rSzLESCceWRL/mZFQ81EaesoMHXUE09ed5JZcEkm1EeIbVM8kE06HpncETJ12xcByc/
ZLz1YKud3AljbYI6wNLlddJK4SStGdJNaodxsWYY0UXot8JWkxxv5Xbp6F+SeEdFbIjk8mhGvACR
s2aGkoWAxaX32CjEJ2JLE5nkpFOIU1Uz+YC/zZbnoAM5cqVEBQGUdRPnAqc/07uU3K9iuHBrpQdk
WMKpq3H4aSivSZcsjjzTSqadSVzCvE+JY506ncvY1oh6wLsEnhUJDz1W/nU0iBeO5kc3Ste5F6lM
VaiLJBjlZu8eA/ADd/ZCM9yDfGl3Hb5EYKB1sWuZkyKRDVdaII/hzciSp2kgQQaAZJFsOrJfT7Mh
DGYJXjCTRO6OXLECkY09hNBKIVMKRu5UreGNwUOR7kegn5lhWsMfwGotXOcEKd+3OoMWqCeR9eim
gnuJ+6GCL79BJQGILsikjshNYleaCFCkhOpEVPxuggJbPgz4AqZ1yGihooI+gndy1fsJ5HpD7phR
DmXSkYWRiOl06PKEbpIczdEOzDiu9TbY+YkaP4myg+110fSZABjZQI0Trb5cg8GUEwRRAjVxPMCL
JrXDJS0yYSt3BQVuhqy37jH2CdZhB1Zy6+F/jS8q1GkRB0k/zSe4VehTRoAkdUaxSuSLKHtLpeR9
JAJ7G6h1rYlPo1vlzJO0gnDbFIsQKHuww5ekKtWPWZG03lxh2r2sfcFaGDU5klPZ1XukMTWzRUMx
mTpTfpeXFYyjDbWfunb0utx6iZfuYB16ZGBCMbGOKpelOAWlzB7yWOtvS8tLJVtDAEg5GxTZnVTD
FZkM0uhQEwRJcYF9irVRYTQ79pC11joI03ITezk9ppl4EhZLGIKdmXrSXZUqbCPcnkXhCSKyptmm
hImjaoTxvQ6RbgEhiddT2Wq3ZZIoMXPvGA/Fogq8ftmOEeLor7zkqAJj0VHItwuh6kBXvba9svQ2
O9eqdFgpUjLet2G+BLEVKNgznWRTUbJEopi1Lp86ohzeu9xc4586gJdqEUX5UvRxSZypDZGJjebr
mwjyf4y9Y9SJ127eizc0HUo/E/N0GElFfIEmBTuRqr2pYZeW4xhRikUrTZBRucuh9JikOvqTE8nD
besSpokbsRK3ykPaWJiEiWFQ3GtGB1EBgKa77Ygos/Pa6xBele2WajFbe5jlLkOMcg4TvMAwyXUr
Xjb8aJYz6rweSkP1wO7A3GRk2WDlVXpoiAMkCoUZHEmaWQJuo1DtdqazhH+64HMPZFcgd21ATCb0
ZsWizmHuD7LhXFkysTAJpkgW3FdLnwpSXTKVq4osn7ZunNt48yH4VgdflKbQ2eN0JjuhStiul/tP
QZ15l4PheUdiiMn/LK8UmWQyVW5vBG4UBN6yAl0+zPP6NlYCr+AWqUjOCv2BW3uItXwD6y3usVwO
cLyMhwwsXCD6tKKY8Cd1rdcneR721MRJShh3XJY3JfnLI5D6GOIHRq9e8JxuoogwGSv0mGPUAvOY
waLJqeQAJjeK8omF6+y16rjFWnE871ZqjCCaJFo8zGpZYDxhdRj5wnuKRVKC8sF4YIoXLd24ehBz
X4VxlFB1sJVoxNuBFj+qgjv6bxU1A/mkattjvyYuBGNXt9dIc2cWjrEx8a9TvN+Y/XOehFqT6+bh
N0cSqWKHolU+9WqZYvPYGRPAWXYZFXufIi7yQ0f3ExBwaiIEfZCJ0RFEYbWAxVV6yxTJ/Vz19Upc
xkNC/mgAvd2nM9U1QvNqiEecvUjSHEszf+4wTjgUq1S2pRLEdwKcwsPJipKLROB2gz1M0mjU5vmt
bzDdB90wTXxZC/mqN1Kwdz0P5bXopfIlWHx+gzbHPDSDyFUgqFfQKszMVU6xcU1OdVQCl3lvYBNp
BTrLx8C8X5n3mRTGduk3x71R6dDtO9W9gg4oxkSxG9KzmGOuccQn9BQbNgeEC8/szdsKRgR2MJFc
HnPfavHSwV9otH7R9C3PpmLdxFZw0mLMPFdMCW2oI0MA6IRiYA4g+IKHg3IkzYU89ddB7xjXRMy2
kyjt4tMwwJ47knN8HElB3+DtkEy9QZI2CJpT8pe8/Komx+wys5TMlvr6NhMNZVsBTW5C1LV2HQbK
MtdiccvQRXjCi7dzJrIr40WopMoqEANDGIdczjYWXVrh1N+mqShsnLTHYonIVJxPvSDcCIEMOVyF
fI67RaJVYPzomWa+mKCjRxg4WvwZgYr5bWR240qIlGwH6dPBd7R2gb6NsJ4SBt7CRrKMFe08w6+o
HR4iLD5tYchx7Urq1DtN9ahcx1ljzLJW9+/8ipEfUQ2Lrra6heOTl2vosb9z6l4lsq0Nz03I7wsh
h6ejNV4yz4XWxELblIUXA4K+9hRgU0gpxbGhxfFd5DXErZmS3JkzMQqlaA5YOBJWMh4uJdmWq9rz
q20+tOkyEQqPnEOxmFVlb3DPuYE/CQl1m4qlqmC8JRHQzbx8q7G1nKkCqW1o4NrQwRfb1GcpMU67
gfHjsVkSsDXjieCtmtTxTlyxkS9Etc42Uk0CL/2xZqxFt4FKoXl4iUQkui+AsuRFYHbmCRitW+Hz
5ogMsUQvOtYDqPYwD5zbmtnLeUV79FzkkWKwK1NKTFMv05SZlIcVqFRfCBnRlnUSbfwOOe1EA7xl
/44RIhdl5UP6YXp0LQ8w1Gm4s02YgZghmTZyuKulpOz0hqLZrgLXu9LxRi/mrWWmAmq0wjtS3YBI
QETNpIB5BjATk+m+XZHsUBLr0Qf6dYME+TKJ/eYcj5t8UYWxdNrKngypB8tH4kwEHg+IVdyFHkfV
LdOk9KxAmWLZslujA84xx9W9kHt1IKRrbfRKv0YK1ULiVIT6jAK2BTC2Gu/Gw1nJxYCoqVArh56y
FYMuv1bkINtYJXBKpxdkJNc6XFG2LbWztRyGH2ofHxpYHxuPKVOieIKmtj8RGic5tLJEXOAt1zU4
CVTYzZcGEdWDWUmI/tR+V3lVRhhcnAgztc+a+0AG5ZpbCuOqFixpGdRDe4aduoQf8HiWuWpgE6jm
DeMbY6sEkEpalBPX3JzA9bmfZBuzxZHWy+NLLYzOI4+sPnxty7UVeyr3LH5Y6H9IHiMEHVwOiLiy
E/StRE07unWdSQU7CNpjNyQ8F2XAZJQ0XwW6k68t5Ebn+Cbr5w044jHNS7Qu3T66EUwHNbgOa/oB
G2ePJHIBcU2HEvikM/WmgWBTdXem34v9YdopTb8MLakJD71ElghScN1+yUhJe3AiknMwdoH5lDCu
Rn6YwYiayIVpEdXlDkuJnesJI1X9yXWdgqjgIByCST1A+kD3zXc90RrFlxdyavmXkDDkOfTh4GYQ
CDNnlAb7kNmKxd7mNVcSqOG50cvRCWPNYTP4SvWk7DffwglGOeIAe651nfPe68v7LjXLY4PB+LaA
WYM7Pti4F2Mp5sFigLejmp4yEx2kY8wyetjog6ycwqiCcNK6rjfxfCjE0zLSrBrXbzUMl3UdjOBV
XvLQyFM4qSR3aTeiK+VQxvKqLDDKL9pJLorZgyrkFbathX+Mdic98+M2vy6swXssEYUsIxytrxpJ
7Idp13fuChfasppLLcD4NGbstRIsdRBWOH+IS9nwwUuh8EgTrfeqO48mOZp0RVWvfU+Js0WomxXm
PlIZrGkJmO4VrbzMOjEP8dwBf5Y0jzq0H1PevTrJMlvJ4oGYSEcjtx4WLV8dgq7DOA4ctFygdNFo
C51u4FgNyzpSxupGqYMFnqjB0tQSuIStIMnnLitz2Up6cm+mQ3w3dtkV7wB33K5VRbgQ66LexJFU
XOOG0K/w8I4pVdnwp6TYDNNMKjVeaURKDEFOscTts3VquRF534qXOtM0SoNdnEaYLBPQ6Z7KKWn3
ZPpkUBZDptVntRU/F6CXCrdLvMCBMIBAgDoBQ9I6nRbDPvClk2A39IK4RUNmnXdygGmpORDqDlVB
D4+CvKEgSRulPCx9zZRtfVDVHiqUni3LitlEoyW+QGvqBeOmjDhrWVQlXw1lvBhbEBC1tjis2JF2
fqh3+jTxndKZdKBj5SSBm6vaXlU5BPNp6KMGrNwxXil1kvqKAKLVRAx1nN9V76iUEZEWYTM8xqak
z4euw6qYMjLOZkbtFeY00kN/ZYXUZZ0bpsduAVdlImBIcJYTwnUZa2NPUZlahPMDu/gUqWhxquIa
uo5hES9lsUmWDUylVVL3Xg5ZO+6IKtZlccHIKl0JqBvuqsL08+mgD9ExWcK5vFKKYnCvjbqrKACN
FvD3/4NZP4KsjjJYEE/g1VHzozBCAwD6fVjL3j0Wu18AWn852QFt/bLcNU+R/wuZcb/Yv6bGQYF5
ry/67lu8orHKAeuPmd044gb8HMU+r2iseACuqgFuKQbDjj1O+wZ+Aceq6IIsXuBjYwT7KxwriwfA
pjrH43TGQ5p/Bfz6RhqpjqCcKmMlQdwV1qPWp7Fi7iDocLkRZ057iejt2NpKcxSyWPtAT3TQx0x9
bS6W58plAlMG6UlwWeb+3I+vna6yfQdiJe4YYhjfWQ5whYcNGCEXwtwwkRpkJqbU8coz7/uOmzNz
2Y7867q9k33MxJn3o0S/QJIBOaMnvLZAxX2Ymc8FiMzS0beNfOI+EotLe7ZGHDFJ2uO0qKeO/hwn
OCRjWggm4Es62FMVU7lJJ02c2D14T+T1i1gn5Rv+zbRDngu3RtSDYh5IlTtN6+ik8+4SGEF60t6T
03NZVuJZnA8epgL4V2tKn81KA3pr8lBFpzqTw0lNncEIErWyS/PAoIxo1daQN3R4F24E8KAU81HM
JKjxYcgmzY6/xpUWHW+WnWKgH05ytyDuGo9jppcRW3uXBcEEmOhJgyY4TXL1VgyEBV/TjAyAGY/n
SYB7jFqG817tp0WFrT8KJHIqjtE7bKAAnKA8eAgNfUP3hLK7Z5qeSfJV5/eXqYB9WMxAVKVjD0zm
aCPwzjCNo+LpskFiVlPUlcSzmP5JXjI07/5EFk6qyydgdbzvGFuLBlo6HLk++0OHjVgCcgnWrBvi
y6LCoV5Vy03XoJlo9Rk8hdyODP2wCpNFlJ1qcbfQJPUI1Ke2e1EhIrhsqLbQYOp+tAwFce7X7Rya
IzWto2yUJp13nXahqBo2/0Fp54p/lCdHYq0uiiw5kvo5s84ZMAisseFMi7wlW8eskKyTiq8QsOFZ
hTuhhbcCl9nBGNwv4rkbIK6RPAaMlQ2lzsbkB4dKwyZ43nYLYZkN4qbQinmjqJseHy9ddY87Shqr
ixexV20DslFZkovBOlSlO53hNaS3w1wfTsQUDEdI3Rz4uINHxKpk75hnjb82k2Mjjxa4TSOSMe/j
ql9GEZkQLWS9WighW9fDesB4mGnzrs+0eUpIQswBJzW4Ff7z/SGPi2tZdsmZ38pFcYxubVlK7Tbp
7oZA644ySIO4QEjGbe4oNSaq1KUoa71MWugBS6TVUfLp1jJXikcR39tJgwTM7Zmxmk6q2RachqOc
PiDTh7t3T9fvMJE+m2bun85gSopI1yiOysqPE6EhFU1QzsSZ6Wn45Ar1Nc7/C6eQ7vLCmw5NcSgZ
xXnuhCdD3Zy6ZbEKSAX0aauksMwhRhrrUMPZKCgzAuStU0zGeXZV5yXAN/VAuAm8BueQ5E9Wt7q3
4n4/ydJ5crO+eYBzCqOg/ePnLjNwtEbCjjo3CtglsnLo0KYPkMqZPkeTItLo1j2T1LuGeHR9KcQ8
pHKphm0/7/Cbyr0Iw1ph0NDJtdRohsGadeVZKvtLNIMy4HGEKzwG106zUKJu4wf1Bcq4y0EZ2Yry
I3DmRazie6aYlZ16ELUdn3T0Qq/SWWeaPBob+Vms0aKB+Atr0EcGbAOIWpS1517TbFqzPsp0x8VB
JDn2GhTMum7dEesMfSpstkjUTxnBD4jFMoIBAm+mKdmWPu0ZjlA0NX39WReii1IPbvBvBx4vIwbM
z1nkL7wO38yET+Dmq6JUJ8Q1ToFurtpYWijA4ROjuG9J3e5hL6RxOysldCftVGxwbgzRpcBPbFGA
QBKdIdE/Jv5tA8cgwKRZpuQicxwiLvVvfR0U1WUukuOVqDdw6C9dvzuFzDPYTV0xDqmWSpBPc8Lk
8OO/0Lx2KboDqu/gwRGzi4hM5loGa5K53wMN+Za5IfJnlWbthp4F71PzIpZkCLAonGrRmlkS4jrg
FtcT53z1a7RxsxYhEFj+Na7Ny8aoZ1DYp1pP3vm6QmxW9tociA3SM7AcIUrDhaMrUzLdba8+srJw
FSTOdcElXODs6NMogJMm8cIM0am1ZAQUSvUcet4UxteGRHKbhvo2j6HD03DjQiVH0H8VNZ8EulFd
B7FxlroKsRp5DhjathNoDRtfCx7ySEW/KT/7ZrxyBOtaLYlTFtJHE4sJRlnJJIUrhBstf9GkmyoP
l8AV8yDNLuJWPw/d4EiV+9Ye6FryQeunAri5I1S2ldaYXrS245YJO9NNILdL5kfLeMy/I3kFwKqK
LxUvuXFLbd0VylWEAgrfwxttyLddXJOiE9Sr3DGeaQmPHMbDs7as9UkkuXD7dWNSk2JqF64ZkUQz
rEP4QyBzpyTBFAujEHcqEe4zRlDnqdLvyL6g4q+rG2jFHrInIDzf6jeFWl02g3nYGJnHgMWfCeEq
lLUryI1oYvDwl71gS9uMJXF9JHYdDuCDRTRJZBPHsBTazu5EcRPrrh1qzlUM5mMWiCdV61yvYYKH
twPJT6lZTy2gp7LxzxTA5J7VrgbZ8+ADoXPFus666HrlWs5xa60GwunzcwflT2g+W4N417nYNcvd
HLzqIVBJIY+htbmadu5YT1hoTgxrpgonhXmSSSeacprU50Hjbwoy22sFZFaBFsm8LDAviQIbA+im
KQF8CSzBBhhdDp5Cv18k5ByF5Y1hbVuNxq9TESI8W75nS/Jt7V4YbrzQzQJRw9k4qHHL9jytZZaL
cByIdHM+tlHDWnSiidGDabFH+bq6wtdLU+NZuJ8QwYjTT6X2wdIwZDWUm4pRpN5zX4fyjWlt4q6l
uzsTRyiCZ+V1TqTNtPY12/XvW0KI4voZjvKUJNT7TlGiOdSreyHTl37hLkNfemwgU01ry4sBCS27
x8+ICJrWlnu4NlZqrgIPiwgBZMM23fgKJ0t31sm9+igUsjQxBRxBmU/P23Q4YpK29dzcsIdA2lqh
cJv2/TWawi3RMpvBge2OVHaMnFTUlVuFMK0jM5lBM6vtpk0eCPNamIOxRFExAS4taAApp1yvuxBU
QucLEeoTAHoctLuK8QvsspXeOtKU6dlk0I37uGkOrdZ7Mvt6y1wwm+aBvAyC3rXTktKE+RLq+VEg
PDqFBE21jRTI61I8o1Bfp5nyjL5pGkgLt9IPVUxapLQ4DiFMUT4de7l20vfVgpmUDMseuxuQNA/H
Q02w29zyGZIW+A+qVjWLQij//90bHDkyasq0TLM2oRwQpmjWW1+Mb2hI4WKnXshqcM4VTzrk2kA/
Q/04kTOnn6RQvaZGgshIREOH4bF+8bOa1i9weMY/faX7fEPigQ3026ub1E+qbfr3fumPD/RjrCDF
GqN2PzSr+8+0pyT90SGiXeVX9ePTv/8lawejo6CGeaC4/6H7jdLEfX3Z5GUyzWkoX97o3bX5vbP/
4xP7lij17XE+fHLulqQaCVYuFv3vu+p9Q/Ej5/7pCO/OXT6Aiga3Yawsxx/O8d25G9YBiBXkE8TM
+58Xvsv/+Uuwe4z9xPbJxPQfqg+XAOszzIp+5CJ8Osa7i2AdwN6SrNFW+v3J6wdYTkPyUbF6H39e
3uefdPIsSnhoXzp5STxQiSSGJMSRPp69KpoyDCL95ez/b63+T1/bC1dw9fjvf0EdVQFjvnT2GNNg
XKwhrHg5SfHTvS8eaLrOHWJCexp/aOB5v3/SEtizIhXgr69dB+1AI2lCAmh7OVEO+G4xWNKBjKDO
pJ379eV/1nWAKT/aUn/tIigHxIkAOBo85t6dvWkcWLCMLDjvLz8vb/SPWwUqDfbXLoB5gG+FAij1
es9/vBsM44CLTDydhjH6+POPeyCST6EwJPjiZZC0cdeTKS3gUO5/PiwHQz0QNZYDzqMvr/7zlgNB
QS879adK7S9URZIKFVpUoam/Vgaf1oJ+IFE1UTP9Y5+MryzbLz8aFbzLsAPDu+zl62bPef9w4MnJ
JqlAKH15+WVD/gc9HEYt1FdLJGn0dpNxgxtp6ePPt6thDBtgivMPvSXGJwMu2198MsjyAbGVRE2N
/tXvFoGBKR5+VAoX+vUC7N/ohxbBD/zSry0XTKjocd9s+U/lO9XFn/7CW0fy7QFeO42xoBrbiQ+/
uO2zp5dDv1Rd47//50M9ti+F3r34Vhrt3+f1z19P8Nu3/vBeb2f19h+X/lOxKx48jNFo1PrXjznq
A/79L0aNHiPI7/kYEqP11h6Mb//vf334uO++/j88flnu4rfDjFeGpEWep7+d59877MT3dsXbYfYV
7L55/ephl7ui3yW79wdmijl2RV8+sh//vmMklsZstF99i8MddPtf/tsuzv7HL0e7EjrRhyvE/jLW
3F99l6NdkSBICj9epJdd8svHZp1Gnw68b8u+euD1Liy93WP79JS9XYH9XYo7L1vQV49+vHv0+u/f
Qxz/J6z200efj//2Qfd3EWOgn/BlburH+sF7Kor+w8ER00lv/+Hv3/qbOgl292/H2X9qgvl+wqc+
3wW7skKf9uHY8B5+wrEvfGyDPzywmBVqP+E73O5iP4Lm8Vi//9TUOjo171dX4GVVwR75zkP8tbH/
6vGvn8rql8lT4u6itw+7f+i+dIpfPfrxjoc5D6yq+LDGX4utrx59UQcc/QPS9WsF8+Vjpx8+8a89
01ePy678K/3nxH9I7/l2V2UEUah8f/1pGrCx+Amr/n/9oKHx71Ogfm2W/6gYOPaHtPhYDkiYBpHC
8xN22G3hZ2jA3l+f14P/hLv3+0Stb94LzOftv/395+ZIBRu/6rcj7XeqF2zqJ1ym410yXqfvHPwn
XKbjJxdX7F3/+VuAlTbial+9LeynyPPfDvPbZRnBmi8f+tf77RPdjjU0Kp6lr7/Fnyqqv3h3/YhG
9otvsd9nduEoDX+7Hvuv4RUf+Am11CFbwe8e/ycsoe0Tt5b7ucbXpdGcfWTdfHUdrXePXJ+344wX
h7UDsZK5lwwSBsNSUX7Cjfb959HfIY7+4Yr4Xr/5K2b/bRf6No773p99bLHH33iInnbFf/43AAAA
//8=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594360</xdr:colOff>
      <xdr:row>4</xdr:row>
      <xdr:rowOff>148590</xdr:rowOff>
    </xdr:from>
    <xdr:to>
      <xdr:col>11</xdr:col>
      <xdr:colOff>289560</xdr:colOff>
      <xdr:row>19</xdr:row>
      <xdr:rowOff>148590</xdr:rowOff>
    </xdr:to>
    <xdr:graphicFrame macro="">
      <xdr:nvGraphicFramePr>
        <xdr:cNvPr id="2" name="Chart 1">
          <a:extLst>
            <a:ext uri="{FF2B5EF4-FFF2-40B4-BE49-F238E27FC236}">
              <a16:creationId xmlns:a16="http://schemas.microsoft.com/office/drawing/2014/main" id="{EA996628-2E72-0744-844F-96EB6048B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579120</xdr:colOff>
      <xdr:row>37</xdr:row>
      <xdr:rowOff>30480</xdr:rowOff>
    </xdr:from>
    <xdr:to>
      <xdr:col>11</xdr:col>
      <xdr:colOff>274320</xdr:colOff>
      <xdr:row>51</xdr:row>
      <xdr:rowOff>137160</xdr:rowOff>
    </xdr:to>
    <xdr:graphicFrame macro="">
      <xdr:nvGraphicFramePr>
        <xdr:cNvPr id="3" name="Chart 2">
          <a:extLst>
            <a:ext uri="{FF2B5EF4-FFF2-40B4-BE49-F238E27FC236}">
              <a16:creationId xmlns:a16="http://schemas.microsoft.com/office/drawing/2014/main" id="{415E016F-7F08-BFB5-4D2A-0F0F22CEB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243840</xdr:colOff>
      <xdr:row>75</xdr:row>
      <xdr:rowOff>125730</xdr:rowOff>
    </xdr:from>
    <xdr:to>
      <xdr:col>11</xdr:col>
      <xdr:colOff>548640</xdr:colOff>
      <xdr:row>90</xdr:row>
      <xdr:rowOff>7620</xdr:rowOff>
    </xdr:to>
    <xdr:graphicFrame macro="">
      <xdr:nvGraphicFramePr>
        <xdr:cNvPr id="5" name="Chart 4">
          <a:extLst>
            <a:ext uri="{FF2B5EF4-FFF2-40B4-BE49-F238E27FC236}">
              <a16:creationId xmlns:a16="http://schemas.microsoft.com/office/drawing/2014/main" id="{9B67F689-FA63-B81C-1593-1EDB28FB4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93</xdr:row>
      <xdr:rowOff>45720</xdr:rowOff>
    </xdr:from>
    <xdr:to>
      <xdr:col>11</xdr:col>
      <xdr:colOff>541020</xdr:colOff>
      <xdr:row>109</xdr:row>
      <xdr:rowOff>38100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988CEAB0-826E-0853-ADA7-D87568CC0C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67000" y="17053560"/>
              <a:ext cx="5303520" cy="2918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54</xdr:row>
      <xdr:rowOff>171450</xdr:rowOff>
    </xdr:from>
    <xdr:to>
      <xdr:col>11</xdr:col>
      <xdr:colOff>304800</xdr:colOff>
      <xdr:row>66</xdr:row>
      <xdr:rowOff>144780</xdr:rowOff>
    </xdr:to>
    <xdr:graphicFrame macro="">
      <xdr:nvGraphicFramePr>
        <xdr:cNvPr id="8" name="Chart 7">
          <a:extLst>
            <a:ext uri="{FF2B5EF4-FFF2-40B4-BE49-F238E27FC236}">
              <a16:creationId xmlns:a16="http://schemas.microsoft.com/office/drawing/2014/main" id="{C5579D5D-B02B-44CA-E35D-C7F24AB97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47625</xdr:rowOff>
    </xdr:from>
    <xdr:to>
      <xdr:col>29</xdr:col>
      <xdr:colOff>0</xdr:colOff>
      <xdr:row>39</xdr:row>
      <xdr:rowOff>5715</xdr:rowOff>
    </xdr:to>
    <xdr:sp macro="" textlink="">
      <xdr:nvSpPr>
        <xdr:cNvPr id="2" name="Rectangle 1">
          <a:extLst>
            <a:ext uri="{FF2B5EF4-FFF2-40B4-BE49-F238E27FC236}">
              <a16:creationId xmlns:a16="http://schemas.microsoft.com/office/drawing/2014/main" id="{317FCE1D-55ED-CDA0-9C89-AB477C17BD4C}"/>
            </a:ext>
          </a:extLst>
        </xdr:cNvPr>
        <xdr:cNvSpPr/>
      </xdr:nvSpPr>
      <xdr:spPr>
        <a:xfrm>
          <a:off x="0" y="47625"/>
          <a:ext cx="17687925" cy="7016115"/>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259080</xdr:colOff>
      <xdr:row>8</xdr:row>
      <xdr:rowOff>137160</xdr:rowOff>
    </xdr:from>
    <xdr:to>
      <xdr:col>11</xdr:col>
      <xdr:colOff>381000</xdr:colOff>
      <xdr:row>23</xdr:row>
      <xdr:rowOff>104775</xdr:rowOff>
    </xdr:to>
    <xdr:graphicFrame macro="">
      <xdr:nvGraphicFramePr>
        <xdr:cNvPr id="3" name="Chart 2">
          <a:extLst>
            <a:ext uri="{FF2B5EF4-FFF2-40B4-BE49-F238E27FC236}">
              <a16:creationId xmlns:a16="http://schemas.microsoft.com/office/drawing/2014/main" id="{554FE657-42F6-4F34-8928-946207B76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219075</xdr:colOff>
      <xdr:row>8</xdr:row>
      <xdr:rowOff>177165</xdr:rowOff>
    </xdr:from>
    <xdr:to>
      <xdr:col>19</xdr:col>
      <xdr:colOff>333375</xdr:colOff>
      <xdr:row>23</xdr:row>
      <xdr:rowOff>47625</xdr:rowOff>
    </xdr:to>
    <xdr:graphicFrame macro="">
      <xdr:nvGraphicFramePr>
        <xdr:cNvPr id="4" name="Chart 3">
          <a:extLst>
            <a:ext uri="{FF2B5EF4-FFF2-40B4-BE49-F238E27FC236}">
              <a16:creationId xmlns:a16="http://schemas.microsoft.com/office/drawing/2014/main" id="{5436B94F-FBF9-4A25-A1EE-2E6CE8044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228600</xdr:colOff>
      <xdr:row>24</xdr:row>
      <xdr:rowOff>123825</xdr:rowOff>
    </xdr:from>
    <xdr:to>
      <xdr:col>17</xdr:col>
      <xdr:colOff>351155</xdr:colOff>
      <xdr:row>37</xdr:row>
      <xdr:rowOff>73660</xdr:rowOff>
    </xdr:to>
    <xdr:graphicFrame macro="">
      <xdr:nvGraphicFramePr>
        <xdr:cNvPr id="6" name="Chart 5">
          <a:extLst>
            <a:ext uri="{FF2B5EF4-FFF2-40B4-BE49-F238E27FC236}">
              <a16:creationId xmlns:a16="http://schemas.microsoft.com/office/drawing/2014/main" id="{8D127E36-F6DE-4EA9-ACF9-7744E0B39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88900</xdr:colOff>
      <xdr:row>24</xdr:row>
      <xdr:rowOff>115570</xdr:rowOff>
    </xdr:from>
    <xdr:to>
      <xdr:col>8</xdr:col>
      <xdr:colOff>132080</xdr:colOff>
      <xdr:row>38</xdr:row>
      <xdr:rowOff>24130</xdr:rowOff>
    </xdr:to>
    <mc:AlternateContent xmlns:mc="http://schemas.openxmlformats.org/markup-compatibility/2006">
      <mc:Choice xmlns:a14="http://schemas.microsoft.com/office/drawing/2010/main" Requires="a14">
        <xdr:graphicFrame macro="">
          <xdr:nvGraphicFramePr>
            <xdr:cNvPr id="9" name="Sales Rep">
              <a:extLst>
                <a:ext uri="{FF2B5EF4-FFF2-40B4-BE49-F238E27FC236}">
                  <a16:creationId xmlns:a16="http://schemas.microsoft.com/office/drawing/2014/main" id="{31DE759A-6E19-50B0-2019-FEDCCF10217D}"/>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2527300" y="4382770"/>
              <a:ext cx="2481580" cy="239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377825</xdr:colOff>
      <xdr:row>24</xdr:row>
      <xdr:rowOff>152400</xdr:rowOff>
    </xdr:from>
    <xdr:to>
      <xdr:col>27</xdr:col>
      <xdr:colOff>198120</xdr:colOff>
      <xdr:row>36</xdr:row>
      <xdr:rowOff>114300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D56DE1EF-BA81-4AAF-8857-B6FFD7FAED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363325" y="4419600"/>
              <a:ext cx="5306695" cy="2095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133351</xdr:colOff>
      <xdr:row>3</xdr:row>
      <xdr:rowOff>171449</xdr:rowOff>
    </xdr:from>
    <xdr:to>
      <xdr:col>12</xdr:col>
      <xdr:colOff>47625</xdr:colOff>
      <xdr:row>8</xdr:row>
      <xdr:rowOff>76199</xdr:rowOff>
    </xdr:to>
    <xdr:sp macro="" textlink="">
      <xdr:nvSpPr>
        <xdr:cNvPr id="12" name="Rectangle: Rounded Corners 11">
          <a:extLst>
            <a:ext uri="{FF2B5EF4-FFF2-40B4-BE49-F238E27FC236}">
              <a16:creationId xmlns:a16="http://schemas.microsoft.com/office/drawing/2014/main" id="{B3F8098E-3BD9-A435-C099-0B6BE62F1431}"/>
            </a:ext>
          </a:extLst>
        </xdr:cNvPr>
        <xdr:cNvSpPr/>
      </xdr:nvSpPr>
      <xdr:spPr>
        <a:xfrm>
          <a:off x="5010151" y="171449"/>
          <a:ext cx="2352674" cy="80962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1303</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endParaRPr lang="en-IN"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endParaRPr>
        </a:p>
        <a:p>
          <a:pPr algn="ctr"/>
          <a:r>
            <a:rPr lang="en-IN"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Total Order</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p>
      </xdr:txBody>
    </xdr:sp>
    <xdr:clientData/>
  </xdr:twoCellAnchor>
  <xdr:twoCellAnchor>
    <xdr:from>
      <xdr:col>13</xdr:col>
      <xdr:colOff>76200</xdr:colOff>
      <xdr:row>3</xdr:row>
      <xdr:rowOff>152400</xdr:rowOff>
    </xdr:from>
    <xdr:to>
      <xdr:col>17</xdr:col>
      <xdr:colOff>28575</xdr:colOff>
      <xdr:row>8</xdr:row>
      <xdr:rowOff>76200</xdr:rowOff>
    </xdr:to>
    <xdr:sp macro="" textlink="">
      <xdr:nvSpPr>
        <xdr:cNvPr id="13" name="Rectangle: Rounded Corners 12">
          <a:extLst>
            <a:ext uri="{FF2B5EF4-FFF2-40B4-BE49-F238E27FC236}">
              <a16:creationId xmlns:a16="http://schemas.microsoft.com/office/drawing/2014/main" id="{99FFDD51-F567-44D6-B972-8665EBD0088A}"/>
            </a:ext>
          </a:extLst>
        </xdr:cNvPr>
        <xdr:cNvSpPr/>
      </xdr:nvSpPr>
      <xdr:spPr>
        <a:xfrm>
          <a:off x="8001000" y="152400"/>
          <a:ext cx="2400300" cy="82867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1589266</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p>
        <a:p>
          <a:pPr algn="ctr"/>
          <a:r>
            <a:rPr lang="en-IN"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Total Sales</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p>
      </xdr:txBody>
    </xdr:sp>
    <xdr:clientData/>
  </xdr:twoCellAnchor>
  <xdr:twoCellAnchor>
    <xdr:from>
      <xdr:col>18</xdr:col>
      <xdr:colOff>485775</xdr:colOff>
      <xdr:row>3</xdr:row>
      <xdr:rowOff>171449</xdr:rowOff>
    </xdr:from>
    <xdr:to>
      <xdr:col>22</xdr:col>
      <xdr:colOff>438150</xdr:colOff>
      <xdr:row>8</xdr:row>
      <xdr:rowOff>28575</xdr:rowOff>
    </xdr:to>
    <xdr:sp macro="" textlink="">
      <xdr:nvSpPr>
        <xdr:cNvPr id="14" name="Rectangle: Rounded Corners 13">
          <a:extLst>
            <a:ext uri="{FF2B5EF4-FFF2-40B4-BE49-F238E27FC236}">
              <a16:creationId xmlns:a16="http://schemas.microsoft.com/office/drawing/2014/main" id="{1C28ECB7-F0BF-41B0-BD4F-D2391F993F0A}"/>
            </a:ext>
          </a:extLst>
        </xdr:cNvPr>
        <xdr:cNvSpPr/>
      </xdr:nvSpPr>
      <xdr:spPr>
        <a:xfrm>
          <a:off x="11468100" y="171449"/>
          <a:ext cx="2390775" cy="762001"/>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100387.64</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endParaRPr lang="en-IN"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endParaRPr>
        </a:p>
        <a:p>
          <a:pPr algn="ctr"/>
          <a:r>
            <a:rPr lang="en-IN"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3- Total Commission</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p>
      </xdr:txBody>
    </xdr:sp>
    <xdr:clientData/>
  </xdr:twoCellAnchor>
  <xdr:twoCellAnchor>
    <xdr:from>
      <xdr:col>24</xdr:col>
      <xdr:colOff>466725</xdr:colOff>
      <xdr:row>3</xdr:row>
      <xdr:rowOff>95250</xdr:rowOff>
    </xdr:from>
    <xdr:to>
      <xdr:col>28</xdr:col>
      <xdr:colOff>352425</xdr:colOff>
      <xdr:row>8</xdr:row>
      <xdr:rowOff>19050</xdr:rowOff>
    </xdr:to>
    <xdr:sp macro="" textlink="">
      <xdr:nvSpPr>
        <xdr:cNvPr id="15" name="Rectangle: Rounded Corners 14">
          <a:extLst>
            <a:ext uri="{FF2B5EF4-FFF2-40B4-BE49-F238E27FC236}">
              <a16:creationId xmlns:a16="http://schemas.microsoft.com/office/drawing/2014/main" id="{4AB8E098-828E-4373-9049-B27C914DFEA1}"/>
            </a:ext>
          </a:extLst>
        </xdr:cNvPr>
        <xdr:cNvSpPr/>
      </xdr:nvSpPr>
      <xdr:spPr>
        <a:xfrm>
          <a:off x="15106650" y="95250"/>
          <a:ext cx="2324100" cy="82867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1488878.36</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p>
        <a:p>
          <a:pPr algn="ctr"/>
          <a:r>
            <a:rPr lang="en-IN"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rPr>
            <a:t> Net Sales</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p>
      </xdr:txBody>
    </xdr:sp>
    <xdr:clientData/>
  </xdr:twoCellAnchor>
  <xdr:twoCellAnchor>
    <xdr:from>
      <xdr:col>19</xdr:col>
      <xdr:colOff>577849</xdr:colOff>
      <xdr:row>8</xdr:row>
      <xdr:rowOff>158749</xdr:rowOff>
    </xdr:from>
    <xdr:to>
      <xdr:col>28</xdr:col>
      <xdr:colOff>454024</xdr:colOff>
      <xdr:row>22</xdr:row>
      <xdr:rowOff>82550</xdr:rowOff>
    </xdr:to>
    <xdr:graphicFrame macro="">
      <xdr:nvGraphicFramePr>
        <xdr:cNvPr id="16" name="Chart 15">
          <a:extLst>
            <a:ext uri="{FF2B5EF4-FFF2-40B4-BE49-F238E27FC236}">
              <a16:creationId xmlns:a16="http://schemas.microsoft.com/office/drawing/2014/main" id="{A45943A9-363E-4787-AE23-E469FEF15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130810</xdr:colOff>
      <xdr:row>0</xdr:row>
      <xdr:rowOff>112395</xdr:rowOff>
    </xdr:from>
    <xdr:to>
      <xdr:col>4</xdr:col>
      <xdr:colOff>241300</xdr:colOff>
      <xdr:row>22</xdr:row>
      <xdr:rowOff>88900</xdr:rowOff>
    </xdr:to>
    <mc:AlternateContent xmlns:mc="http://schemas.openxmlformats.org/markup-compatibility/2006">
      <mc:Choice xmlns:a14="http://schemas.microsoft.com/office/drawing/2010/main" Requires="a14">
        <xdr:graphicFrame macro="">
          <xdr:nvGraphicFramePr>
            <xdr:cNvPr id="17" name="Date">
              <a:extLst>
                <a:ext uri="{FF2B5EF4-FFF2-40B4-BE49-F238E27FC236}">
                  <a16:creationId xmlns:a16="http://schemas.microsoft.com/office/drawing/2014/main" id="{D61F63AC-7B6D-210D-E1E5-8F9D3BB89E4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30810" y="112395"/>
              <a:ext cx="2548890" cy="3888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245110</xdr:colOff>
      <xdr:row>23</xdr:row>
      <xdr:rowOff>20320</xdr:rowOff>
    </xdr:from>
    <xdr:to>
      <xdr:col>3</xdr:col>
      <xdr:colOff>245110</xdr:colOff>
      <xdr:row>36</xdr:row>
      <xdr:rowOff>172720</xdr:rowOff>
    </xdr:to>
    <mc:AlternateContent xmlns:mc="http://schemas.openxmlformats.org/markup-compatibility/2006">
      <mc:Choice xmlns:a14="http://schemas.microsoft.com/office/drawing/2010/main" Requires="a14">
        <xdr:graphicFrame macro="">
          <xdr:nvGraphicFramePr>
            <xdr:cNvPr id="18" name="State">
              <a:extLst>
                <a:ext uri="{FF2B5EF4-FFF2-40B4-BE49-F238E27FC236}">
                  <a16:creationId xmlns:a16="http://schemas.microsoft.com/office/drawing/2014/main" id="{29B459E8-3021-110D-1B3B-3E26998E2B9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45110" y="4109720"/>
              <a:ext cx="1828800" cy="246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381000</xdr:colOff>
      <xdr:row>0</xdr:row>
      <xdr:rowOff>104775</xdr:rowOff>
    </xdr:from>
    <xdr:to>
      <xdr:col>20</xdr:col>
      <xdr:colOff>342900</xdr:colOff>
      <xdr:row>3</xdr:row>
      <xdr:rowOff>76200</xdr:rowOff>
    </xdr:to>
    <xdr:sp macro="" textlink="">
      <xdr:nvSpPr>
        <xdr:cNvPr id="20" name="Rectangle: Rounded Corners 19">
          <a:extLst>
            <a:ext uri="{FF2B5EF4-FFF2-40B4-BE49-F238E27FC236}">
              <a16:creationId xmlns:a16="http://schemas.microsoft.com/office/drawing/2014/main" id="{43D0CDAF-CFC0-BEEA-382B-598EDBC900C1}"/>
            </a:ext>
          </a:extLst>
        </xdr:cNvPr>
        <xdr:cNvSpPr/>
      </xdr:nvSpPr>
      <xdr:spPr>
        <a:xfrm>
          <a:off x="8915400" y="104775"/>
          <a:ext cx="3629025" cy="514350"/>
        </a:xfrm>
        <a:prstGeom prst="roundRect">
          <a:avLst/>
        </a:prstGeom>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Employee</a:t>
          </a:r>
          <a:r>
            <a:rPr lang="en-IN" sz="2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IN" sz="32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Detailes</a:t>
          </a:r>
          <a:endParaRPr lang="en-IN" sz="2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Patil" refreshedDate="46027.511307870373" createdVersion="8" refreshedVersion="8" minRefreshableVersion="3" recordCount="1303" xr:uid="{62D97830-0D49-47C8-B940-67AE6AD555EB}">
  <cacheSource type="worksheet">
    <worksheetSource name="Data"/>
  </cacheSource>
  <cacheFields count="10">
    <cacheField name="Order Id" numFmtId="0">
      <sharedItems count="1303">
        <s v="order id =1"/>
        <s v="order id =2"/>
        <s v="order id =3"/>
        <s v="order id =4"/>
        <s v="order id =5"/>
        <s v="order id =6"/>
        <s v="order id =7"/>
        <s v="order id =8"/>
        <s v="order id =9"/>
        <s v="order id =10"/>
        <s v="order id =11"/>
        <s v="order id =12"/>
        <s v="order id =13"/>
        <s v="order id =14"/>
        <s v="order id =15"/>
        <s v="order id =16"/>
        <s v="order id =17"/>
        <s v="order id =18"/>
        <s v="order id =19"/>
        <s v="order id =20"/>
        <s v="order id =21"/>
        <s v="order id =22"/>
        <s v="order id =23"/>
        <s v="order id =24"/>
        <s v="order id =25"/>
        <s v="order id =26"/>
        <s v="order id =27"/>
        <s v="order id =28"/>
        <s v="order id =29"/>
        <s v="order id =30"/>
        <s v="order id =31"/>
        <s v="order id =32"/>
        <s v="order id =33"/>
        <s v="order id =34"/>
        <s v="order id =35"/>
        <s v="order id =36"/>
        <s v="order id =37"/>
        <s v="order id =38"/>
        <s v="order id =39"/>
        <s v="order id =40"/>
        <s v="order id =41"/>
        <s v="order id =42"/>
        <s v="order id =43"/>
        <s v="order id =44"/>
        <s v="order id =45"/>
        <s v="order id =46"/>
        <s v="order id =47"/>
        <s v="order id =48"/>
        <s v="order id =49"/>
        <s v="order id =50"/>
        <s v="order id =51"/>
        <s v="order id =52"/>
        <s v="order id =53"/>
        <s v="order id =54"/>
        <s v="order id =55"/>
        <s v="order id =56"/>
        <s v="order id =57"/>
        <s v="order id =58"/>
        <s v="order id =59"/>
        <s v="order id =60"/>
        <s v="order id =61"/>
        <s v="order id =62"/>
        <s v="order id =63"/>
        <s v="order id =64"/>
        <s v="order id =65"/>
        <s v="order id =66"/>
        <s v="order id =67"/>
        <s v="order id =68"/>
        <s v="order id =69"/>
        <s v="order id =70"/>
        <s v="order id =71"/>
        <s v="order id =72"/>
        <s v="order id =73"/>
        <s v="order id =74"/>
        <s v="order id =75"/>
        <s v="order id =76"/>
        <s v="order id =77"/>
        <s v="order id =78"/>
        <s v="order id =79"/>
        <s v="order id =80"/>
        <s v="order id =81"/>
        <s v="order id =82"/>
        <s v="order id =83"/>
        <s v="order id =84"/>
        <s v="order id =85"/>
        <s v="order id =86"/>
        <s v="order id =87"/>
        <s v="order id =88"/>
        <s v="order id =89"/>
        <s v="order id =90"/>
        <s v="order id =91"/>
        <s v="order id =92"/>
        <s v="order id =93"/>
        <s v="order id =94"/>
        <s v="order id =95"/>
        <s v="order id =96"/>
        <s v="order id =97"/>
        <s v="order id =98"/>
        <s v="order id =99"/>
        <s v="order id =100"/>
        <s v="order id =101"/>
        <s v="order id =102"/>
        <s v="order id =103"/>
        <s v="order id =104"/>
        <s v="order id =105"/>
        <s v="order id =106"/>
        <s v="order id =107"/>
        <s v="order id =108"/>
        <s v="order id =109"/>
        <s v="order id =110"/>
        <s v="order id =111"/>
        <s v="order id =112"/>
        <s v="order id =113"/>
        <s v="order id =114"/>
        <s v="order id =115"/>
        <s v="order id =116"/>
        <s v="order id =117"/>
        <s v="order id =118"/>
        <s v="order id =119"/>
        <s v="order id =120"/>
        <s v="order id =121"/>
        <s v="order id =122"/>
        <s v="order id =123"/>
        <s v="order id =124"/>
        <s v="order id =125"/>
        <s v="order id =126"/>
        <s v="order id =127"/>
        <s v="order id =128"/>
        <s v="order id =129"/>
        <s v="order id =130"/>
        <s v="order id =131"/>
        <s v="order id =132"/>
        <s v="order id =133"/>
        <s v="order id =134"/>
        <s v="order id =135"/>
        <s v="order id =136"/>
        <s v="order id =137"/>
        <s v="order id =138"/>
        <s v="order id =139"/>
        <s v="order id =140"/>
        <s v="order id =141"/>
        <s v="order id =142"/>
        <s v="order id =143"/>
        <s v="order id =144"/>
        <s v="order id =145"/>
        <s v="order id =146"/>
        <s v="order id =147"/>
        <s v="order id =148"/>
        <s v="order id =149"/>
        <s v="order id =150"/>
        <s v="order id =151"/>
        <s v="order id =152"/>
        <s v="order id =153"/>
        <s v="order id =154"/>
        <s v="order id =155"/>
        <s v="order id =156"/>
        <s v="order id =157"/>
        <s v="order id =158"/>
        <s v="order id =159"/>
        <s v="order id =160"/>
        <s v="order id =161"/>
        <s v="order id =162"/>
        <s v="order id =163"/>
        <s v="order id =164"/>
        <s v="order id =165"/>
        <s v="order id =166"/>
        <s v="order id =167"/>
        <s v="order id =168"/>
        <s v="order id =169"/>
        <s v="order id =170"/>
        <s v="order id =171"/>
        <s v="order id =172"/>
        <s v="order id =173"/>
        <s v="order id =174"/>
        <s v="order id =175"/>
        <s v="order id =176"/>
        <s v="order id =177"/>
        <s v="order id =178"/>
        <s v="order id =179"/>
        <s v="order id =180"/>
        <s v="order id =181"/>
        <s v="order id =182"/>
        <s v="order id =183"/>
        <s v="order id =184"/>
        <s v="order id =185"/>
        <s v="order id =186"/>
        <s v="order id =187"/>
        <s v="order id =188"/>
        <s v="order id =189"/>
        <s v="order id =190"/>
        <s v="order id =191"/>
        <s v="order id =192"/>
        <s v="order id =193"/>
        <s v="order id =194"/>
        <s v="order id =195"/>
        <s v="order id =196"/>
        <s v="order id =197"/>
        <s v="order id =198"/>
        <s v="order id =199"/>
        <s v="order id =200"/>
        <s v="order id =201"/>
        <s v="order id =202"/>
        <s v="order id =203"/>
        <s v="order id =204"/>
        <s v="order id =205"/>
        <s v="order id =206"/>
        <s v="order id =207"/>
        <s v="order id =208"/>
        <s v="order id =209"/>
        <s v="order id =210"/>
        <s v="order id =211"/>
        <s v="order id =212"/>
        <s v="order id =213"/>
        <s v="order id =214"/>
        <s v="order id =215"/>
        <s v="order id =216"/>
        <s v="order id =217"/>
        <s v="order id =218"/>
        <s v="order id =219"/>
        <s v="order id =220"/>
        <s v="order id =221"/>
        <s v="order id =222"/>
        <s v="order id =223"/>
        <s v="order id =224"/>
        <s v="order id =225"/>
        <s v="order id =226"/>
        <s v="order id =227"/>
        <s v="order id =228"/>
        <s v="order id =229"/>
        <s v="order id =230"/>
        <s v="order id =231"/>
        <s v="order id =232"/>
        <s v="order id =233"/>
        <s v="order id =234"/>
        <s v="order id =235"/>
        <s v="order id =236"/>
        <s v="order id =237"/>
        <s v="order id =238"/>
        <s v="order id =239"/>
        <s v="order id =240"/>
        <s v="order id =241"/>
        <s v="order id =242"/>
        <s v="order id =243"/>
        <s v="order id =244"/>
        <s v="order id =245"/>
        <s v="order id =246"/>
        <s v="order id =247"/>
        <s v="order id =248"/>
        <s v="order id =249"/>
        <s v="order id =250"/>
        <s v="order id =251"/>
        <s v="order id =252"/>
        <s v="order id =253"/>
        <s v="order id =254"/>
        <s v="order id =255"/>
        <s v="order id =256"/>
        <s v="order id =257"/>
        <s v="order id =258"/>
        <s v="order id =259"/>
        <s v="order id =260"/>
        <s v="order id =261"/>
        <s v="order id =262"/>
        <s v="order id =263"/>
        <s v="order id =264"/>
        <s v="order id =265"/>
        <s v="order id =266"/>
        <s v="order id =267"/>
        <s v="order id =268"/>
        <s v="order id =269"/>
        <s v="order id =270"/>
        <s v="order id =271"/>
        <s v="order id =272"/>
        <s v="order id =273"/>
        <s v="order id =274"/>
        <s v="order id =275"/>
        <s v="order id =276"/>
        <s v="order id =277"/>
        <s v="order id =278"/>
        <s v="order id =279"/>
        <s v="order id =280"/>
        <s v="order id =281"/>
        <s v="order id =282"/>
        <s v="order id =283"/>
        <s v="order id =284"/>
        <s v="order id =285"/>
        <s v="order id =286"/>
        <s v="order id =287"/>
        <s v="order id =288"/>
        <s v="order id =289"/>
        <s v="order id =290"/>
        <s v="order id =291"/>
        <s v="order id =292"/>
        <s v="order id =293"/>
        <s v="order id =294"/>
        <s v="order id =295"/>
        <s v="order id =296"/>
        <s v="order id =297"/>
        <s v="order id =298"/>
        <s v="order id =299"/>
        <s v="order id =300"/>
        <s v="order id =301"/>
        <s v="order id =302"/>
        <s v="order id =303"/>
        <s v="order id =304"/>
        <s v="order id =305"/>
        <s v="order id =306"/>
        <s v="order id =307"/>
        <s v="order id =308"/>
        <s v="order id =309"/>
        <s v="order id =310"/>
        <s v="order id =311"/>
        <s v="order id =312"/>
        <s v="order id =313"/>
        <s v="order id =314"/>
        <s v="order id =315"/>
        <s v="order id =316"/>
        <s v="order id =317"/>
        <s v="order id =318"/>
        <s v="order id =319"/>
        <s v="order id =320"/>
        <s v="order id =321"/>
        <s v="order id =322"/>
        <s v="order id =323"/>
        <s v="order id =324"/>
        <s v="order id =325"/>
        <s v="order id =326"/>
        <s v="order id =327"/>
        <s v="order id =328"/>
        <s v="order id =329"/>
        <s v="order id =330"/>
        <s v="order id =331"/>
        <s v="order id =332"/>
        <s v="order id =333"/>
        <s v="order id =334"/>
        <s v="order id =335"/>
        <s v="order id =336"/>
        <s v="order id =337"/>
        <s v="order id =338"/>
        <s v="order id =339"/>
        <s v="order id =340"/>
        <s v="order id =341"/>
        <s v="order id =342"/>
        <s v="order id =343"/>
        <s v="order id =344"/>
        <s v="order id =345"/>
        <s v="order id =346"/>
        <s v="order id =347"/>
        <s v="order id =348"/>
        <s v="order id =349"/>
        <s v="order id =350"/>
        <s v="order id =351"/>
        <s v="order id =352"/>
        <s v="order id =353"/>
        <s v="order id =354"/>
        <s v="order id =355"/>
        <s v="order id =356"/>
        <s v="order id =357"/>
        <s v="order id =358"/>
        <s v="order id =359"/>
        <s v="order id =360"/>
        <s v="order id =361"/>
        <s v="order id =362"/>
        <s v="order id =363"/>
        <s v="order id =364"/>
        <s v="order id =365"/>
        <s v="order id =366"/>
        <s v="order id =367"/>
        <s v="order id =368"/>
        <s v="order id =369"/>
        <s v="order id =370"/>
        <s v="order id =371"/>
        <s v="order id =372"/>
        <s v="order id =373"/>
        <s v="order id =374"/>
        <s v="order id =375"/>
        <s v="order id =376"/>
        <s v="order id =377"/>
        <s v="order id =378"/>
        <s v="order id =379"/>
        <s v="order id =380"/>
        <s v="order id =381"/>
        <s v="order id =382"/>
        <s v="order id =383"/>
        <s v="order id =384"/>
        <s v="order id =385"/>
        <s v="order id =386"/>
        <s v="order id =387"/>
        <s v="order id =388"/>
        <s v="order id =389"/>
        <s v="order id =390"/>
        <s v="order id =391"/>
        <s v="order id =392"/>
        <s v="order id =393"/>
        <s v="order id =394"/>
        <s v="order id =395"/>
        <s v="order id =396"/>
        <s v="order id =397"/>
        <s v="order id =398"/>
        <s v="order id =399"/>
        <s v="order id =400"/>
        <s v="order id =401"/>
        <s v="order id =402"/>
        <s v="order id =403"/>
        <s v="order id =404"/>
        <s v="order id =405"/>
        <s v="order id =406"/>
        <s v="order id =407"/>
        <s v="order id =408"/>
        <s v="order id =409"/>
        <s v="order id =410"/>
        <s v="order id =411"/>
        <s v="order id =412"/>
        <s v="order id =413"/>
        <s v="order id =414"/>
        <s v="order id =415"/>
        <s v="order id =416"/>
        <s v="order id =417"/>
        <s v="order id =418"/>
        <s v="order id =419"/>
        <s v="order id =420"/>
        <s v="order id =421"/>
        <s v="order id =422"/>
        <s v="order id =423"/>
        <s v="order id =424"/>
        <s v="order id =425"/>
        <s v="order id =426"/>
        <s v="order id =427"/>
        <s v="order id =428"/>
        <s v="order id =429"/>
        <s v="order id =430"/>
        <s v="order id =431"/>
        <s v="order id =432"/>
        <s v="order id =433"/>
        <s v="order id =434"/>
        <s v="order id =435"/>
        <s v="order id =436"/>
        <s v="order id =437"/>
        <s v="order id =438"/>
        <s v="order id =439"/>
        <s v="order id =440"/>
        <s v="order id =441"/>
        <s v="order id =442"/>
        <s v="order id =443"/>
        <s v="order id =444"/>
        <s v="order id =445"/>
        <s v="order id =446"/>
        <s v="order id =447"/>
        <s v="order id =448"/>
        <s v="order id =449"/>
        <s v="order id =450"/>
        <s v="order id =451"/>
        <s v="order id =452"/>
        <s v="order id =453"/>
        <s v="order id =454"/>
        <s v="order id =455"/>
        <s v="order id =456"/>
        <s v="order id =457"/>
        <s v="order id =458"/>
        <s v="order id =459"/>
        <s v="order id =460"/>
        <s v="order id =461"/>
        <s v="order id =462"/>
        <s v="order id =463"/>
        <s v="order id =464"/>
        <s v="order id =465"/>
        <s v="order id =466"/>
        <s v="order id =467"/>
        <s v="order id =468"/>
        <s v="order id =469"/>
        <s v="order id =470"/>
        <s v="order id =471"/>
        <s v="order id =472"/>
        <s v="order id =473"/>
        <s v="order id =474"/>
        <s v="order id =475"/>
        <s v="order id =476"/>
        <s v="order id =477"/>
        <s v="order id =478"/>
        <s v="order id =479"/>
        <s v="order id =480"/>
        <s v="order id =481"/>
        <s v="order id =482"/>
        <s v="order id =483"/>
        <s v="order id =484"/>
        <s v="order id =485"/>
        <s v="order id =486"/>
        <s v="order id =487"/>
        <s v="order id =488"/>
        <s v="order id =489"/>
        <s v="order id =490"/>
        <s v="order id =491"/>
        <s v="order id =492"/>
        <s v="order id =493"/>
        <s v="order id =494"/>
        <s v="order id =495"/>
        <s v="order id =496"/>
        <s v="order id =497"/>
        <s v="order id =498"/>
        <s v="order id =499"/>
        <s v="order id =500"/>
        <s v="order id =501"/>
        <s v="order id =502"/>
        <s v="order id =503"/>
        <s v="order id =504"/>
        <s v="order id =505"/>
        <s v="order id =506"/>
        <s v="order id =507"/>
        <s v="order id =508"/>
        <s v="order id =509"/>
        <s v="order id =510"/>
        <s v="order id =511"/>
        <s v="order id =512"/>
        <s v="order id =513"/>
        <s v="order id =514"/>
        <s v="order id =515"/>
        <s v="order id =516"/>
        <s v="order id =517"/>
        <s v="order id =518"/>
        <s v="order id =519"/>
        <s v="order id =520"/>
        <s v="order id =521"/>
        <s v="order id =522"/>
        <s v="order id =523"/>
        <s v="order id =524"/>
        <s v="order id =525"/>
        <s v="order id =526"/>
        <s v="order id =527"/>
        <s v="order id =528"/>
        <s v="order id =529"/>
        <s v="order id =530"/>
        <s v="order id =531"/>
        <s v="order id =532"/>
        <s v="order id =533"/>
        <s v="order id =534"/>
        <s v="order id =535"/>
        <s v="order id =536"/>
        <s v="order id =537"/>
        <s v="order id =538"/>
        <s v="order id =539"/>
        <s v="order id =540"/>
        <s v="order id =541"/>
        <s v="order id =542"/>
        <s v="order id =543"/>
        <s v="order id =544"/>
        <s v="order id =545"/>
        <s v="order id =546"/>
        <s v="order id =547"/>
        <s v="order id =548"/>
        <s v="order id =549"/>
        <s v="order id =550"/>
        <s v="order id =551"/>
        <s v="order id =552"/>
        <s v="order id =553"/>
        <s v="order id =554"/>
        <s v="order id =555"/>
        <s v="order id =556"/>
        <s v="order id =557"/>
        <s v="order id =558"/>
        <s v="order id =559"/>
        <s v="order id =560"/>
        <s v="order id =561"/>
        <s v="order id =562"/>
        <s v="order id =563"/>
        <s v="order id =564"/>
        <s v="order id =565"/>
        <s v="order id =566"/>
        <s v="order id =567"/>
        <s v="order id =568"/>
        <s v="order id =569"/>
        <s v="order id =570"/>
        <s v="order id =571"/>
        <s v="order id =572"/>
        <s v="order id =573"/>
        <s v="order id =574"/>
        <s v="order id =575"/>
        <s v="order id =576"/>
        <s v="order id =577"/>
        <s v="order id =578"/>
        <s v="order id =579"/>
        <s v="order id =580"/>
        <s v="order id =581"/>
        <s v="order id =582"/>
        <s v="order id =583"/>
        <s v="order id =584"/>
        <s v="order id =585"/>
        <s v="order id =586"/>
        <s v="order id =587"/>
        <s v="order id =588"/>
        <s v="order id =589"/>
        <s v="order id =590"/>
        <s v="order id =591"/>
        <s v="order id =592"/>
        <s v="order id =593"/>
        <s v="order id =594"/>
        <s v="order id =595"/>
        <s v="order id =596"/>
        <s v="order id =597"/>
        <s v="order id =598"/>
        <s v="order id =599"/>
        <s v="order id =600"/>
        <s v="order id =601"/>
        <s v="order id =602"/>
        <s v="order id =603"/>
        <s v="order id =604"/>
        <s v="order id =605"/>
        <s v="order id =606"/>
        <s v="order id =607"/>
        <s v="order id =608"/>
        <s v="order id =609"/>
        <s v="order id =610"/>
        <s v="order id =611"/>
        <s v="order id =612"/>
        <s v="order id =613"/>
        <s v="order id =614"/>
        <s v="order id =615"/>
        <s v="order id =616"/>
        <s v="order id =617"/>
        <s v="order id =618"/>
        <s v="order id =619"/>
        <s v="order id =620"/>
        <s v="order id =621"/>
        <s v="order id =622"/>
        <s v="order id =623"/>
        <s v="order id =624"/>
        <s v="order id =625"/>
        <s v="order id =626"/>
        <s v="order id =627"/>
        <s v="order id =628"/>
        <s v="order id =629"/>
        <s v="order id =630"/>
        <s v="order id =631"/>
        <s v="order id =632"/>
        <s v="order id =633"/>
        <s v="order id =634"/>
        <s v="order id =635"/>
        <s v="order id =636"/>
        <s v="order id =637"/>
        <s v="order id =638"/>
        <s v="order id =639"/>
        <s v="order id =640"/>
        <s v="order id =641"/>
        <s v="order id =642"/>
        <s v="order id =643"/>
        <s v="order id =644"/>
        <s v="order id =645"/>
        <s v="order id =646"/>
        <s v="order id =647"/>
        <s v="order id =648"/>
        <s v="order id =649"/>
        <s v="order id =650"/>
        <s v="order id =651"/>
        <s v="order id =652"/>
        <s v="order id =653"/>
        <s v="order id =654"/>
        <s v="order id =655"/>
        <s v="order id =656"/>
        <s v="order id =657"/>
        <s v="order id =658"/>
        <s v="order id =659"/>
        <s v="order id =660"/>
        <s v="order id =661"/>
        <s v="order id =662"/>
        <s v="order id =663"/>
        <s v="order id =664"/>
        <s v="order id =665"/>
        <s v="order id =666"/>
        <s v="order id =667"/>
        <s v="order id =668"/>
        <s v="order id =669"/>
        <s v="order id =670"/>
        <s v="order id =671"/>
        <s v="order id =672"/>
        <s v="order id =673"/>
        <s v="order id =674"/>
        <s v="order id =675"/>
        <s v="order id =676"/>
        <s v="order id =677"/>
        <s v="order id =678"/>
        <s v="order id =679"/>
        <s v="order id =680"/>
        <s v="order id =681"/>
        <s v="order id =682"/>
        <s v="order id =683"/>
        <s v="order id =684"/>
        <s v="order id =685"/>
        <s v="order id =686"/>
        <s v="order id =687"/>
        <s v="order id =688"/>
        <s v="order id =689"/>
        <s v="order id =690"/>
        <s v="order id =691"/>
        <s v="order id =692"/>
        <s v="order id =693"/>
        <s v="order id =694"/>
        <s v="order id =695"/>
        <s v="order id =696"/>
        <s v="order id =697"/>
        <s v="order id =698"/>
        <s v="order id =699"/>
        <s v="order id =700"/>
        <s v="order id =701"/>
        <s v="order id =702"/>
        <s v="order id =703"/>
        <s v="order id =704"/>
        <s v="order id =705"/>
        <s v="order id =706"/>
        <s v="order id =707"/>
        <s v="order id =708"/>
        <s v="order id =709"/>
        <s v="order id =710"/>
        <s v="order id =711"/>
        <s v="order id =712"/>
        <s v="order id =713"/>
        <s v="order id =714"/>
        <s v="order id =715"/>
        <s v="order id =716"/>
        <s v="order id =717"/>
        <s v="order id =718"/>
        <s v="order id =719"/>
        <s v="order id =720"/>
        <s v="order id =721"/>
        <s v="order id =722"/>
        <s v="order id =723"/>
        <s v="order id =724"/>
        <s v="order id =725"/>
        <s v="order id =726"/>
        <s v="order id =727"/>
        <s v="order id =728"/>
        <s v="order id =729"/>
        <s v="order id =730"/>
        <s v="order id =731"/>
        <s v="order id =732"/>
        <s v="order id =733"/>
        <s v="order id =734"/>
        <s v="order id =735"/>
        <s v="order id =736"/>
        <s v="order id =737"/>
        <s v="order id =738"/>
        <s v="order id =739"/>
        <s v="order id =740"/>
        <s v="order id =741"/>
        <s v="order id =742"/>
        <s v="order id =743"/>
        <s v="order id =744"/>
        <s v="order id =745"/>
        <s v="order id =746"/>
        <s v="order id =747"/>
        <s v="order id =748"/>
        <s v="order id =749"/>
        <s v="order id =750"/>
        <s v="order id =751"/>
        <s v="order id =752"/>
        <s v="order id =753"/>
        <s v="order id =754"/>
        <s v="order id =755"/>
        <s v="order id =756"/>
        <s v="order id =757"/>
        <s v="order id =758"/>
        <s v="order id =759"/>
        <s v="order id =760"/>
        <s v="order id =761"/>
        <s v="order id =762"/>
        <s v="order id =763"/>
        <s v="order id =764"/>
        <s v="order id =765"/>
        <s v="order id =766"/>
        <s v="order id =767"/>
        <s v="order id =768"/>
        <s v="order id =769"/>
        <s v="order id =770"/>
        <s v="order id =771"/>
        <s v="order id =772"/>
        <s v="order id =773"/>
        <s v="order id =774"/>
        <s v="order id =775"/>
        <s v="order id =776"/>
        <s v="order id =777"/>
        <s v="order id =778"/>
        <s v="order id =779"/>
        <s v="order id =780"/>
        <s v="order id =781"/>
        <s v="order id =782"/>
        <s v="order id =783"/>
        <s v="order id =784"/>
        <s v="order id =785"/>
        <s v="order id =786"/>
        <s v="order id =787"/>
        <s v="order id =788"/>
        <s v="order id =789"/>
        <s v="order id =790"/>
        <s v="order id =791"/>
        <s v="order id =792"/>
        <s v="order id =793"/>
        <s v="order id =794"/>
        <s v="order id =795"/>
        <s v="order id =796"/>
        <s v="order id =797"/>
        <s v="order id =798"/>
        <s v="order id =799"/>
        <s v="order id =800"/>
        <s v="order id =801"/>
        <s v="order id =802"/>
        <s v="order id =803"/>
        <s v="order id =804"/>
        <s v="order id =805"/>
        <s v="order id =806"/>
        <s v="order id =807"/>
        <s v="order id =808"/>
        <s v="order id =809"/>
        <s v="order id =810"/>
        <s v="order id =811"/>
        <s v="order id =812"/>
        <s v="order id =813"/>
        <s v="order id =814"/>
        <s v="order id =815"/>
        <s v="order id =816"/>
        <s v="order id =817"/>
        <s v="order id =818"/>
        <s v="order id =819"/>
        <s v="order id =820"/>
        <s v="order id =821"/>
        <s v="order id =822"/>
        <s v="order id =823"/>
        <s v="order id =824"/>
        <s v="order id =825"/>
        <s v="order id =826"/>
        <s v="order id =827"/>
        <s v="order id =828"/>
        <s v="order id =829"/>
        <s v="order id =830"/>
        <s v="order id =831"/>
        <s v="order id =832"/>
        <s v="order id =833"/>
        <s v="order id =834"/>
        <s v="order id =835"/>
        <s v="order id =836"/>
        <s v="order id =837"/>
        <s v="order id =838"/>
        <s v="order id =839"/>
        <s v="order id =840"/>
        <s v="order id =841"/>
        <s v="order id =842"/>
        <s v="order id =843"/>
        <s v="order id =844"/>
        <s v="order id =845"/>
        <s v="order id =846"/>
        <s v="order id =847"/>
        <s v="order id =848"/>
        <s v="order id =849"/>
        <s v="order id =850"/>
        <s v="order id =851"/>
        <s v="order id =852"/>
        <s v="order id =853"/>
        <s v="order id =854"/>
        <s v="order id =855"/>
        <s v="order id =856"/>
        <s v="order id =857"/>
        <s v="order id =858"/>
        <s v="order id =859"/>
        <s v="order id =860"/>
        <s v="order id =861"/>
        <s v="order id =862"/>
        <s v="order id =863"/>
        <s v="order id =864"/>
        <s v="order id =865"/>
        <s v="order id =866"/>
        <s v="order id =867"/>
        <s v="order id =868"/>
        <s v="order id =869"/>
        <s v="order id =870"/>
        <s v="order id =871"/>
        <s v="order id =872"/>
        <s v="order id =873"/>
        <s v="order id =874"/>
        <s v="order id =875"/>
        <s v="order id =876"/>
        <s v="order id =877"/>
        <s v="order id =878"/>
        <s v="order id =879"/>
        <s v="order id =880"/>
        <s v="order id =881"/>
        <s v="order id =882"/>
        <s v="order id =883"/>
        <s v="order id =884"/>
        <s v="order id =885"/>
        <s v="order id =886"/>
        <s v="order id =887"/>
        <s v="order id =888"/>
        <s v="order id =889"/>
        <s v="order id =890"/>
        <s v="order id =891"/>
        <s v="order id =892"/>
        <s v="order id =893"/>
        <s v="order id =894"/>
        <s v="order id =895"/>
        <s v="order id =896"/>
        <s v="order id =897"/>
        <s v="order id =898"/>
        <s v="order id =899"/>
        <s v="order id =900"/>
        <s v="order id =901"/>
        <s v="order id =902"/>
        <s v="order id =903"/>
        <s v="order id =904"/>
        <s v="order id =905"/>
        <s v="order id =906"/>
        <s v="order id =907"/>
        <s v="order id =908"/>
        <s v="order id =909"/>
        <s v="order id =910"/>
        <s v="order id =911"/>
        <s v="order id =912"/>
        <s v="order id =913"/>
        <s v="order id =914"/>
        <s v="order id =915"/>
        <s v="order id =916"/>
        <s v="order id =917"/>
        <s v="order id =918"/>
        <s v="order id =919"/>
        <s v="order id =920"/>
        <s v="order id =921"/>
        <s v="order id =922"/>
        <s v="order id =923"/>
        <s v="order id =924"/>
        <s v="order id =925"/>
        <s v="order id =926"/>
        <s v="order id =927"/>
        <s v="order id =928"/>
        <s v="order id =929"/>
        <s v="order id =930"/>
        <s v="order id =931"/>
        <s v="order id =932"/>
        <s v="order id =933"/>
        <s v="order id =934"/>
        <s v="order id =935"/>
        <s v="order id =936"/>
        <s v="order id =937"/>
        <s v="order id =938"/>
        <s v="order id =939"/>
        <s v="order id =940"/>
        <s v="order id =941"/>
        <s v="order id =942"/>
        <s v="order id =943"/>
        <s v="order id =944"/>
        <s v="order id =945"/>
        <s v="order id =946"/>
        <s v="order id =947"/>
        <s v="order id =948"/>
        <s v="order id =949"/>
        <s v="order id =950"/>
        <s v="order id =951"/>
        <s v="order id =952"/>
        <s v="order id =953"/>
        <s v="order id =954"/>
        <s v="order id =955"/>
        <s v="order id =956"/>
        <s v="order id =957"/>
        <s v="order id =958"/>
        <s v="order id =959"/>
        <s v="order id =960"/>
        <s v="order id =961"/>
        <s v="order id =962"/>
        <s v="order id =963"/>
        <s v="order id =964"/>
        <s v="order id =965"/>
        <s v="order id =966"/>
        <s v="order id =967"/>
        <s v="order id =968"/>
        <s v="order id =969"/>
        <s v="order id =970"/>
        <s v="order id =971"/>
        <s v="order id =972"/>
        <s v="order id =973"/>
        <s v="order id =974"/>
        <s v="order id =975"/>
        <s v="order id =976"/>
        <s v="order id =977"/>
        <s v="order id =978"/>
        <s v="order id =979"/>
        <s v="order id =980"/>
        <s v="order id =981"/>
        <s v="order id =982"/>
        <s v="order id =983"/>
        <s v="order id =984"/>
        <s v="order id =985"/>
        <s v="order id =986"/>
        <s v="order id =987"/>
        <s v="order id =988"/>
        <s v="order id =989"/>
        <s v="order id =990"/>
        <s v="order id =991"/>
        <s v="order id =992"/>
        <s v="order id =993"/>
        <s v="order id =994"/>
        <s v="order id =995"/>
        <s v="order id =996"/>
        <s v="order id =997"/>
        <s v="order id =998"/>
        <s v="order id =999"/>
        <s v="order id =1000"/>
        <s v="order id =1001"/>
        <s v="order id =1002"/>
        <s v="order id =1003"/>
        <s v="order id =1004"/>
        <s v="order id =1005"/>
        <s v="order id =1006"/>
        <s v="order id =1007"/>
        <s v="order id =1008"/>
        <s v="order id =1009"/>
        <s v="order id =1010"/>
        <s v="order id =1011"/>
        <s v="order id =1012"/>
        <s v="order id =1013"/>
        <s v="order id =1014"/>
        <s v="order id =1015"/>
        <s v="order id =1016"/>
        <s v="order id =1017"/>
        <s v="order id =1018"/>
        <s v="order id =1019"/>
        <s v="order id =1020"/>
        <s v="order id =1021"/>
        <s v="order id =1022"/>
        <s v="order id =1023"/>
        <s v="order id =1024"/>
        <s v="order id =1025"/>
        <s v="order id =1026"/>
        <s v="order id =1027"/>
        <s v="order id =1028"/>
        <s v="order id =1029"/>
        <s v="order id =1030"/>
        <s v="order id =1031"/>
        <s v="order id =1032"/>
        <s v="order id =1033"/>
        <s v="order id =1034"/>
        <s v="order id =1035"/>
        <s v="order id =1036"/>
        <s v="order id =1037"/>
        <s v="order id =1038"/>
        <s v="order id =1039"/>
        <s v="order id =1040"/>
        <s v="order id =1041"/>
        <s v="order id =1042"/>
        <s v="order id =1043"/>
        <s v="order id =1044"/>
        <s v="order id =1045"/>
        <s v="order id =1046"/>
        <s v="order id =1047"/>
        <s v="order id =1048"/>
        <s v="order id =1049"/>
        <s v="order id =1050"/>
        <s v="order id =1051"/>
        <s v="order id =1052"/>
        <s v="order id =1053"/>
        <s v="order id =1054"/>
        <s v="order id =1055"/>
        <s v="order id =1056"/>
        <s v="order id =1057"/>
        <s v="order id =1058"/>
        <s v="order id =1059"/>
        <s v="order id =1060"/>
        <s v="order id =1061"/>
        <s v="order id =1062"/>
        <s v="order id =1063"/>
        <s v="order id =1064"/>
        <s v="order id =1065"/>
        <s v="order id =1066"/>
        <s v="order id =1067"/>
        <s v="order id =1068"/>
        <s v="order id =1069"/>
        <s v="order id =1070"/>
        <s v="order id =1071"/>
        <s v="order id =1072"/>
        <s v="order id =1073"/>
        <s v="order id =1074"/>
        <s v="order id =1075"/>
        <s v="order id =1076"/>
        <s v="order id =1077"/>
        <s v="order id =1078"/>
        <s v="order id =1079"/>
        <s v="order id =1080"/>
        <s v="order id =1081"/>
        <s v="order id =1082"/>
        <s v="order id =1083"/>
        <s v="order id =1084"/>
        <s v="order id =1085"/>
        <s v="order id =1086"/>
        <s v="order id =1087"/>
        <s v="order id =1088"/>
        <s v="order id =1089"/>
        <s v="order id =1090"/>
        <s v="order id =1091"/>
        <s v="order id =1092"/>
        <s v="order id =1093"/>
        <s v="order id =1094"/>
        <s v="order id =1095"/>
        <s v="order id =1096"/>
        <s v="order id =1097"/>
        <s v="order id =1098"/>
        <s v="order id =1099"/>
        <s v="order id =1100"/>
        <s v="order id =1101"/>
        <s v="order id =1102"/>
        <s v="order id =1103"/>
        <s v="order id =1104"/>
        <s v="order id =1105"/>
        <s v="order id =1106"/>
        <s v="order id =1107"/>
        <s v="order id =1108"/>
        <s v="order id =1109"/>
        <s v="order id =1110"/>
        <s v="order id =1111"/>
        <s v="order id =1112"/>
        <s v="order id =1113"/>
        <s v="order id =1114"/>
        <s v="order id =1115"/>
        <s v="order id =1116"/>
        <s v="order id =1117"/>
        <s v="order id =1118"/>
        <s v="order id =1119"/>
        <s v="order id =1120"/>
        <s v="order id =1121"/>
        <s v="order id =1122"/>
        <s v="order id =1123"/>
        <s v="order id =1124"/>
        <s v="order id =1125"/>
        <s v="order id =1126"/>
        <s v="order id =1127"/>
        <s v="order id =1128"/>
        <s v="order id =1129"/>
        <s v="order id =1130"/>
        <s v="order id =1131"/>
        <s v="order id =1132"/>
        <s v="order id =1133"/>
        <s v="order id =1134"/>
        <s v="order id =1135"/>
        <s v="order id =1136"/>
        <s v="order id =1137"/>
        <s v="order id =1138"/>
        <s v="order id =1139"/>
        <s v="order id =1140"/>
        <s v="order id =1141"/>
        <s v="order id =1142"/>
        <s v="order id =1143"/>
        <s v="order id =1144"/>
        <s v="order id =1145"/>
        <s v="order id =1146"/>
        <s v="order id =1147"/>
        <s v="order id =1148"/>
        <s v="order id =1149"/>
        <s v="order id =1150"/>
        <s v="order id =1151"/>
        <s v="order id =1152"/>
        <s v="order id =1153"/>
        <s v="order id =1154"/>
        <s v="order id =1155"/>
        <s v="order id =1156"/>
        <s v="order id =1157"/>
        <s v="order id =1158"/>
        <s v="order id =1159"/>
        <s v="order id =1160"/>
        <s v="order id =1161"/>
        <s v="order id =1162"/>
        <s v="order id =1163"/>
        <s v="order id =1164"/>
        <s v="order id =1165"/>
        <s v="order id =1166"/>
        <s v="order id =1167"/>
        <s v="order id =1168"/>
        <s v="order id =1169"/>
        <s v="order id =1170"/>
        <s v="order id =1171"/>
        <s v="order id =1172"/>
        <s v="order id =1173"/>
        <s v="order id =1174"/>
        <s v="order id =1175"/>
        <s v="order id =1176"/>
        <s v="order id =1177"/>
        <s v="order id =1178"/>
        <s v="order id =1179"/>
        <s v="order id =1180"/>
        <s v="order id =1181"/>
        <s v="order id =1182"/>
        <s v="order id =1183"/>
        <s v="order id =1184"/>
        <s v="order id =1185"/>
        <s v="order id =1186"/>
        <s v="order id =1187"/>
        <s v="order id =1188"/>
        <s v="order id =1189"/>
        <s v="order id =1190"/>
        <s v="order id =1191"/>
        <s v="order id =1192"/>
        <s v="order id =1193"/>
        <s v="order id =1194"/>
        <s v="order id =1195"/>
        <s v="order id =1196"/>
        <s v="order id =1197"/>
        <s v="order id =1198"/>
        <s v="order id =1199"/>
        <s v="order id =1200"/>
        <s v="order id =1201"/>
        <s v="order id =1202"/>
        <s v="order id =1203"/>
        <s v="order id =1204"/>
        <s v="order id =1205"/>
        <s v="order id =1206"/>
        <s v="order id =1207"/>
        <s v="order id =1208"/>
        <s v="order id =1209"/>
        <s v="order id =1210"/>
        <s v="order id =1211"/>
        <s v="order id =1212"/>
        <s v="order id =1213"/>
        <s v="order id =1214"/>
        <s v="order id =1215"/>
        <s v="order id =1216"/>
        <s v="order id =1217"/>
        <s v="order id =1218"/>
        <s v="order id =1219"/>
        <s v="order id =1220"/>
        <s v="order id =1221"/>
        <s v="order id =1222"/>
        <s v="order id =1223"/>
        <s v="order id =1224"/>
        <s v="order id =1225"/>
        <s v="order id =1226"/>
        <s v="order id =1227"/>
        <s v="order id =1228"/>
        <s v="order id =1229"/>
        <s v="order id =1230"/>
        <s v="order id =1231"/>
        <s v="order id =1232"/>
        <s v="order id =1233"/>
        <s v="order id =1234"/>
        <s v="order id =1235"/>
        <s v="order id =1236"/>
        <s v="order id =1237"/>
        <s v="order id =1238"/>
        <s v="order id =1239"/>
        <s v="order id =1240"/>
        <s v="order id =1241"/>
        <s v="order id =1242"/>
        <s v="order id =1243"/>
        <s v="order id =1244"/>
        <s v="order id =1245"/>
        <s v="order id =1246"/>
        <s v="order id =1247"/>
        <s v="order id =1248"/>
        <s v="order id =1249"/>
        <s v="order id =1250"/>
        <s v="order id =1251"/>
        <s v="order id =1252"/>
        <s v="order id =1253"/>
        <s v="order id =1254"/>
        <s v="order id =1255"/>
        <s v="order id =1256"/>
        <s v="order id =1257"/>
        <s v="order id =1258"/>
        <s v="order id =1259"/>
        <s v="order id =1260"/>
        <s v="order id =1261"/>
        <s v="order id =1262"/>
        <s v="order id =1263"/>
        <s v="order id =1264"/>
        <s v="order id =1265"/>
        <s v="order id =1266"/>
        <s v="order id =1267"/>
        <s v="order id =1268"/>
        <s v="order id =1269"/>
        <s v="order id =1270"/>
        <s v="order id =1271"/>
        <s v="order id =1272"/>
        <s v="order id =1273"/>
        <s v="order id =1274"/>
        <s v="order id =1275"/>
        <s v="order id =1276"/>
        <s v="order id =1277"/>
        <s v="order id =1278"/>
        <s v="order id =1279"/>
        <s v="order id =1280"/>
        <s v="order id =1281"/>
        <s v="order id =1282"/>
        <s v="order id =1283"/>
        <s v="order id =1284"/>
        <s v="order id =1285"/>
        <s v="order id =1286"/>
        <s v="order id =1287"/>
        <s v="order id =1288"/>
        <s v="order id =1289"/>
        <s v="order id =1290"/>
        <s v="order id =1291"/>
        <s v="order id =1292"/>
        <s v="order id =1293"/>
        <s v="order id =1294"/>
        <s v="order id =1295"/>
        <s v="order id =1296"/>
        <s v="order id =1297"/>
        <s v="order id =1298"/>
        <s v="order id =1299"/>
        <s v="order id =1300"/>
        <s v="order id =1301"/>
        <s v="order id =1302"/>
        <s v="order id =1303"/>
      </sharedItems>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6" maxValue="230"/>
    </cacheField>
    <cacheField name="Total price" numFmtId="0">
      <sharedItems containsSemiMixedTypes="0" containsString="0" containsNumber="1" containsInteger="1" minValue="32" maxValue="5290"/>
    </cacheField>
    <cacheField name="Commission" numFmtId="0">
      <sharedItems containsSemiMixedTypes="0" containsString="0" containsNumber="1" minValue="0.01" maxValue="0.12"/>
    </cacheField>
    <cacheField name="Total Commission" numFmtId="0">
      <sharedItems containsSemiMixedTypes="0" containsString="0" containsNumber="1" minValue="0.96" maxValue="556.6"/>
    </cacheField>
    <cacheField name="State" numFmtId="0">
      <sharedItems count="12">
        <s v="Meghalaya"/>
        <s v="Uttar Pradesh"/>
        <s v="Maharashtra"/>
        <s v="Delhi"/>
        <s v="West Bengal"/>
        <s v="Bihar"/>
        <s v="Goa"/>
        <s v="Karnataka"/>
        <s v="Gujarat"/>
        <s v="Jharkhand"/>
        <s v="Haryana"/>
        <s v="Kerala"/>
      </sharedItems>
    </cacheField>
  </cacheFields>
  <extLst>
    <ext xmlns:x14="http://schemas.microsoft.com/office/spreadsheetml/2009/9/main" uri="{725AE2AE-9491-48be-B2B4-4EB974FC3084}">
      <x14:pivotCacheDefinition pivotCacheId="921970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3">
  <r>
    <x v="0"/>
    <x v="0"/>
    <x v="0"/>
    <x v="0"/>
    <n v="10"/>
    <n v="80"/>
    <n v="800"/>
    <n v="0.01"/>
    <n v="8"/>
    <x v="0"/>
  </r>
  <r>
    <x v="1"/>
    <x v="0"/>
    <x v="1"/>
    <x v="1"/>
    <n v="14"/>
    <n v="40"/>
    <n v="560"/>
    <n v="0.06"/>
    <n v="33.6"/>
    <x v="1"/>
  </r>
  <r>
    <x v="2"/>
    <x v="0"/>
    <x v="2"/>
    <x v="1"/>
    <n v="22"/>
    <n v="230"/>
    <n v="5060"/>
    <n v="0.11"/>
    <n v="556.6"/>
    <x v="2"/>
  </r>
  <r>
    <x v="3"/>
    <x v="0"/>
    <x v="2"/>
    <x v="0"/>
    <n v="8"/>
    <n v="230"/>
    <n v="1840"/>
    <n v="0.03"/>
    <n v="55.2"/>
    <x v="3"/>
  </r>
  <r>
    <x v="4"/>
    <x v="0"/>
    <x v="2"/>
    <x v="2"/>
    <n v="12"/>
    <n v="230"/>
    <n v="2760"/>
    <n v="0.03"/>
    <n v="82.8"/>
    <x v="4"/>
  </r>
  <r>
    <x v="5"/>
    <x v="0"/>
    <x v="0"/>
    <x v="3"/>
    <n v="19"/>
    <n v="80"/>
    <n v="1520"/>
    <n v="0.02"/>
    <n v="30.4"/>
    <x v="5"/>
  </r>
  <r>
    <x v="6"/>
    <x v="0"/>
    <x v="3"/>
    <x v="4"/>
    <n v="17"/>
    <n v="16"/>
    <n v="272"/>
    <n v="0.08"/>
    <n v="21.76"/>
    <x v="6"/>
  </r>
  <r>
    <x v="7"/>
    <x v="0"/>
    <x v="4"/>
    <x v="3"/>
    <n v="7"/>
    <n v="150"/>
    <n v="1050"/>
    <n v="0.05"/>
    <n v="52.5"/>
    <x v="7"/>
  </r>
  <r>
    <x v="8"/>
    <x v="0"/>
    <x v="4"/>
    <x v="3"/>
    <n v="20"/>
    <n v="150"/>
    <n v="3000"/>
    <n v="0.1"/>
    <n v="300"/>
    <x v="8"/>
  </r>
  <r>
    <x v="9"/>
    <x v="0"/>
    <x v="3"/>
    <x v="0"/>
    <n v="21"/>
    <n v="16"/>
    <n v="336"/>
    <n v="0.09"/>
    <n v="30.24"/>
    <x v="9"/>
  </r>
  <r>
    <x v="10"/>
    <x v="0"/>
    <x v="2"/>
    <x v="1"/>
    <n v="7"/>
    <n v="230"/>
    <n v="1610"/>
    <n v="0.01"/>
    <n v="16.100000000000001"/>
    <x v="10"/>
  </r>
  <r>
    <x v="11"/>
    <x v="1"/>
    <x v="0"/>
    <x v="3"/>
    <n v="7"/>
    <n v="80"/>
    <n v="560"/>
    <n v="7.0000000000000007E-2"/>
    <n v="39.200000000000003"/>
    <x v="11"/>
  </r>
  <r>
    <x v="12"/>
    <x v="1"/>
    <x v="0"/>
    <x v="4"/>
    <n v="9"/>
    <n v="80"/>
    <n v="720"/>
    <n v="0.02"/>
    <n v="14.4"/>
    <x v="0"/>
  </r>
  <r>
    <x v="13"/>
    <x v="1"/>
    <x v="1"/>
    <x v="4"/>
    <n v="16"/>
    <n v="40"/>
    <n v="640"/>
    <n v="0.09"/>
    <n v="57.6"/>
    <x v="1"/>
  </r>
  <r>
    <x v="14"/>
    <x v="1"/>
    <x v="4"/>
    <x v="1"/>
    <n v="23"/>
    <n v="150"/>
    <n v="3450"/>
    <n v="0.11"/>
    <n v="379.5"/>
    <x v="2"/>
  </r>
  <r>
    <x v="15"/>
    <x v="1"/>
    <x v="3"/>
    <x v="3"/>
    <n v="22"/>
    <n v="16"/>
    <n v="352"/>
    <n v="0.03"/>
    <n v="10.56"/>
    <x v="3"/>
  </r>
  <r>
    <x v="16"/>
    <x v="1"/>
    <x v="1"/>
    <x v="3"/>
    <n v="23"/>
    <n v="40"/>
    <n v="920"/>
    <n v="0.06"/>
    <n v="55.2"/>
    <x v="4"/>
  </r>
  <r>
    <x v="17"/>
    <x v="1"/>
    <x v="0"/>
    <x v="0"/>
    <n v="20"/>
    <n v="80"/>
    <n v="1600"/>
    <n v="0.01"/>
    <n v="16"/>
    <x v="5"/>
  </r>
  <r>
    <x v="18"/>
    <x v="2"/>
    <x v="0"/>
    <x v="3"/>
    <n v="11"/>
    <n v="80"/>
    <n v="880"/>
    <n v="0.01"/>
    <n v="8.8000000000000007"/>
    <x v="6"/>
  </r>
  <r>
    <x v="19"/>
    <x v="2"/>
    <x v="1"/>
    <x v="3"/>
    <n v="9"/>
    <n v="40"/>
    <n v="360"/>
    <n v="0.06"/>
    <n v="21.6"/>
    <x v="7"/>
  </r>
  <r>
    <x v="20"/>
    <x v="2"/>
    <x v="0"/>
    <x v="4"/>
    <n v="16"/>
    <n v="80"/>
    <n v="1280"/>
    <n v="0.09"/>
    <n v="115.2"/>
    <x v="8"/>
  </r>
  <r>
    <x v="21"/>
    <x v="2"/>
    <x v="0"/>
    <x v="2"/>
    <n v="10"/>
    <n v="80"/>
    <n v="800"/>
    <n v="0.08"/>
    <n v="64"/>
    <x v="9"/>
  </r>
  <r>
    <x v="22"/>
    <x v="2"/>
    <x v="3"/>
    <x v="2"/>
    <n v="12"/>
    <n v="16"/>
    <n v="192"/>
    <n v="0.11"/>
    <n v="21.12"/>
    <x v="10"/>
  </r>
  <r>
    <x v="23"/>
    <x v="2"/>
    <x v="4"/>
    <x v="3"/>
    <n v="6"/>
    <n v="150"/>
    <n v="900"/>
    <n v="0.03"/>
    <n v="27"/>
    <x v="11"/>
  </r>
  <r>
    <x v="24"/>
    <x v="2"/>
    <x v="3"/>
    <x v="2"/>
    <n v="11"/>
    <n v="16"/>
    <n v="176"/>
    <n v="0.04"/>
    <n v="7.04"/>
    <x v="0"/>
  </r>
  <r>
    <x v="25"/>
    <x v="2"/>
    <x v="0"/>
    <x v="3"/>
    <n v="22"/>
    <n v="80"/>
    <n v="1760"/>
    <n v="0.03"/>
    <n v="52.8"/>
    <x v="1"/>
  </r>
  <r>
    <x v="26"/>
    <x v="2"/>
    <x v="3"/>
    <x v="1"/>
    <n v="7"/>
    <n v="16"/>
    <n v="112"/>
    <n v="0.08"/>
    <n v="8.9600000000000009"/>
    <x v="2"/>
  </r>
  <r>
    <x v="27"/>
    <x v="2"/>
    <x v="1"/>
    <x v="3"/>
    <n v="13"/>
    <n v="40"/>
    <n v="520"/>
    <n v="0.09"/>
    <n v="46.8"/>
    <x v="3"/>
  </r>
  <r>
    <x v="28"/>
    <x v="2"/>
    <x v="2"/>
    <x v="3"/>
    <n v="8"/>
    <n v="230"/>
    <n v="1840"/>
    <n v="0.05"/>
    <n v="92"/>
    <x v="4"/>
  </r>
  <r>
    <x v="29"/>
    <x v="2"/>
    <x v="3"/>
    <x v="3"/>
    <n v="14"/>
    <n v="16"/>
    <n v="224"/>
    <n v="0.12"/>
    <n v="26.88"/>
    <x v="5"/>
  </r>
  <r>
    <x v="30"/>
    <x v="2"/>
    <x v="1"/>
    <x v="4"/>
    <n v="16"/>
    <n v="40"/>
    <n v="640"/>
    <n v="0.09"/>
    <n v="57.6"/>
    <x v="6"/>
  </r>
  <r>
    <x v="31"/>
    <x v="3"/>
    <x v="4"/>
    <x v="1"/>
    <n v="16"/>
    <n v="150"/>
    <n v="2400"/>
    <n v="0.05"/>
    <n v="120"/>
    <x v="7"/>
  </r>
  <r>
    <x v="32"/>
    <x v="3"/>
    <x v="1"/>
    <x v="1"/>
    <n v="12"/>
    <n v="40"/>
    <n v="480"/>
    <n v="0.1"/>
    <n v="48"/>
    <x v="8"/>
  </r>
  <r>
    <x v="33"/>
    <x v="3"/>
    <x v="0"/>
    <x v="4"/>
    <n v="17"/>
    <n v="80"/>
    <n v="1360"/>
    <n v="7.0000000000000007E-2"/>
    <n v="95.2"/>
    <x v="9"/>
  </r>
  <r>
    <x v="34"/>
    <x v="3"/>
    <x v="2"/>
    <x v="3"/>
    <n v="19"/>
    <n v="230"/>
    <n v="4370"/>
    <n v="0.06"/>
    <n v="262.2"/>
    <x v="10"/>
  </r>
  <r>
    <x v="35"/>
    <x v="3"/>
    <x v="2"/>
    <x v="4"/>
    <n v="22"/>
    <n v="230"/>
    <n v="5060"/>
    <n v="0.1"/>
    <n v="506"/>
    <x v="11"/>
  </r>
  <r>
    <x v="36"/>
    <x v="3"/>
    <x v="1"/>
    <x v="3"/>
    <n v="22"/>
    <n v="40"/>
    <n v="880"/>
    <n v="0.01"/>
    <n v="8.8000000000000007"/>
    <x v="0"/>
  </r>
  <r>
    <x v="37"/>
    <x v="3"/>
    <x v="3"/>
    <x v="3"/>
    <n v="10"/>
    <n v="16"/>
    <n v="160"/>
    <n v="0.04"/>
    <n v="6.4"/>
    <x v="1"/>
  </r>
  <r>
    <x v="38"/>
    <x v="3"/>
    <x v="1"/>
    <x v="1"/>
    <n v="4"/>
    <n v="40"/>
    <n v="160"/>
    <n v="0.12"/>
    <n v="19.2"/>
    <x v="2"/>
  </r>
  <r>
    <x v="39"/>
    <x v="3"/>
    <x v="1"/>
    <x v="4"/>
    <n v="20"/>
    <n v="40"/>
    <n v="800"/>
    <n v="0.05"/>
    <n v="40"/>
    <x v="3"/>
  </r>
  <r>
    <x v="40"/>
    <x v="4"/>
    <x v="2"/>
    <x v="3"/>
    <n v="23"/>
    <n v="230"/>
    <n v="5290"/>
    <n v="0.06"/>
    <n v="317.39999999999998"/>
    <x v="4"/>
  </r>
  <r>
    <x v="41"/>
    <x v="4"/>
    <x v="1"/>
    <x v="2"/>
    <n v="20"/>
    <n v="40"/>
    <n v="800"/>
    <n v="0.01"/>
    <n v="8"/>
    <x v="5"/>
  </r>
  <r>
    <x v="42"/>
    <x v="4"/>
    <x v="4"/>
    <x v="2"/>
    <n v="20"/>
    <n v="150"/>
    <n v="3000"/>
    <n v="0.04"/>
    <n v="120"/>
    <x v="6"/>
  </r>
  <r>
    <x v="43"/>
    <x v="4"/>
    <x v="0"/>
    <x v="1"/>
    <n v="9"/>
    <n v="80"/>
    <n v="720"/>
    <n v="0.03"/>
    <n v="21.6"/>
    <x v="7"/>
  </r>
  <r>
    <x v="44"/>
    <x v="4"/>
    <x v="2"/>
    <x v="0"/>
    <n v="7"/>
    <n v="230"/>
    <n v="1610"/>
    <n v="0.02"/>
    <n v="32.200000000000003"/>
    <x v="8"/>
  </r>
  <r>
    <x v="45"/>
    <x v="4"/>
    <x v="2"/>
    <x v="0"/>
    <n v="3"/>
    <n v="230"/>
    <n v="690"/>
    <n v="0.06"/>
    <n v="41.4"/>
    <x v="9"/>
  </r>
  <r>
    <x v="46"/>
    <x v="4"/>
    <x v="4"/>
    <x v="0"/>
    <n v="13"/>
    <n v="150"/>
    <n v="1950"/>
    <n v="0.05"/>
    <n v="97.5"/>
    <x v="10"/>
  </r>
  <r>
    <x v="47"/>
    <x v="4"/>
    <x v="0"/>
    <x v="0"/>
    <n v="17"/>
    <n v="80"/>
    <n v="1360"/>
    <n v="0.09"/>
    <n v="122.4"/>
    <x v="11"/>
  </r>
  <r>
    <x v="48"/>
    <x v="5"/>
    <x v="1"/>
    <x v="3"/>
    <n v="18"/>
    <n v="40"/>
    <n v="720"/>
    <n v="0.06"/>
    <n v="43.2"/>
    <x v="0"/>
  </r>
  <r>
    <x v="49"/>
    <x v="5"/>
    <x v="3"/>
    <x v="2"/>
    <n v="23"/>
    <n v="16"/>
    <n v="368"/>
    <n v="0.11"/>
    <n v="40.479999999999997"/>
    <x v="1"/>
  </r>
  <r>
    <x v="50"/>
    <x v="5"/>
    <x v="2"/>
    <x v="2"/>
    <n v="20"/>
    <n v="230"/>
    <n v="4600"/>
    <n v="0.06"/>
    <n v="276"/>
    <x v="2"/>
  </r>
  <r>
    <x v="51"/>
    <x v="5"/>
    <x v="3"/>
    <x v="0"/>
    <n v="11"/>
    <n v="16"/>
    <n v="176"/>
    <n v="0.09"/>
    <n v="15.84"/>
    <x v="3"/>
  </r>
  <r>
    <x v="52"/>
    <x v="5"/>
    <x v="4"/>
    <x v="4"/>
    <n v="15"/>
    <n v="150"/>
    <n v="2250"/>
    <n v="7.0000000000000007E-2"/>
    <n v="157.5"/>
    <x v="4"/>
  </r>
  <r>
    <x v="53"/>
    <x v="5"/>
    <x v="2"/>
    <x v="1"/>
    <n v="6"/>
    <n v="230"/>
    <n v="1380"/>
    <n v="0.1"/>
    <n v="138"/>
    <x v="5"/>
  </r>
  <r>
    <x v="54"/>
    <x v="5"/>
    <x v="1"/>
    <x v="0"/>
    <n v="22"/>
    <n v="40"/>
    <n v="880"/>
    <n v="0.02"/>
    <n v="17.600000000000001"/>
    <x v="6"/>
  </r>
  <r>
    <x v="55"/>
    <x v="5"/>
    <x v="1"/>
    <x v="0"/>
    <n v="15"/>
    <n v="40"/>
    <n v="600"/>
    <n v="0.06"/>
    <n v="36"/>
    <x v="7"/>
  </r>
  <r>
    <x v="56"/>
    <x v="5"/>
    <x v="3"/>
    <x v="2"/>
    <n v="12"/>
    <n v="16"/>
    <n v="192"/>
    <n v="0.03"/>
    <n v="5.76"/>
    <x v="8"/>
  </r>
  <r>
    <x v="57"/>
    <x v="5"/>
    <x v="3"/>
    <x v="4"/>
    <n v="22"/>
    <n v="16"/>
    <n v="352"/>
    <n v="0.12"/>
    <n v="42.24"/>
    <x v="9"/>
  </r>
  <r>
    <x v="58"/>
    <x v="5"/>
    <x v="0"/>
    <x v="0"/>
    <n v="21"/>
    <n v="80"/>
    <n v="1680"/>
    <n v="0.04"/>
    <n v="67.2"/>
    <x v="10"/>
  </r>
  <r>
    <x v="59"/>
    <x v="5"/>
    <x v="4"/>
    <x v="0"/>
    <n v="22"/>
    <n v="150"/>
    <n v="3300"/>
    <n v="0.05"/>
    <n v="165"/>
    <x v="11"/>
  </r>
  <r>
    <x v="60"/>
    <x v="5"/>
    <x v="0"/>
    <x v="4"/>
    <n v="21"/>
    <n v="80"/>
    <n v="1680"/>
    <n v="0.09"/>
    <n v="151.19999999999999"/>
    <x v="0"/>
  </r>
  <r>
    <x v="61"/>
    <x v="5"/>
    <x v="0"/>
    <x v="3"/>
    <n v="10"/>
    <n v="80"/>
    <n v="800"/>
    <n v="0.1"/>
    <n v="80"/>
    <x v="1"/>
  </r>
  <r>
    <x v="62"/>
    <x v="5"/>
    <x v="2"/>
    <x v="1"/>
    <n v="15"/>
    <n v="230"/>
    <n v="3450"/>
    <n v="0.09"/>
    <n v="310.5"/>
    <x v="2"/>
  </r>
  <r>
    <x v="63"/>
    <x v="6"/>
    <x v="0"/>
    <x v="0"/>
    <n v="14"/>
    <n v="80"/>
    <n v="1120"/>
    <n v="0.08"/>
    <n v="89.6"/>
    <x v="3"/>
  </r>
  <r>
    <x v="64"/>
    <x v="6"/>
    <x v="0"/>
    <x v="4"/>
    <n v="10"/>
    <n v="80"/>
    <n v="800"/>
    <n v="0.06"/>
    <n v="48"/>
    <x v="4"/>
  </r>
  <r>
    <x v="65"/>
    <x v="6"/>
    <x v="4"/>
    <x v="0"/>
    <n v="5"/>
    <n v="150"/>
    <n v="750"/>
    <n v="0.11"/>
    <n v="82.5"/>
    <x v="5"/>
  </r>
  <r>
    <x v="66"/>
    <x v="6"/>
    <x v="2"/>
    <x v="3"/>
    <n v="3"/>
    <n v="230"/>
    <n v="690"/>
    <n v="0.01"/>
    <n v="6.9"/>
    <x v="6"/>
  </r>
  <r>
    <x v="67"/>
    <x v="6"/>
    <x v="1"/>
    <x v="3"/>
    <n v="4"/>
    <n v="40"/>
    <n v="160"/>
    <n v="0.05"/>
    <n v="8"/>
    <x v="7"/>
  </r>
  <r>
    <x v="68"/>
    <x v="6"/>
    <x v="4"/>
    <x v="2"/>
    <n v="18"/>
    <n v="150"/>
    <n v="2700"/>
    <n v="0.06"/>
    <n v="162"/>
    <x v="8"/>
  </r>
  <r>
    <x v="69"/>
    <x v="6"/>
    <x v="1"/>
    <x v="4"/>
    <n v="20"/>
    <n v="40"/>
    <n v="800"/>
    <n v="0.1"/>
    <n v="80"/>
    <x v="9"/>
  </r>
  <r>
    <x v="70"/>
    <x v="6"/>
    <x v="0"/>
    <x v="3"/>
    <n v="16"/>
    <n v="80"/>
    <n v="1280"/>
    <n v="0.05"/>
    <n v="64"/>
    <x v="0"/>
  </r>
  <r>
    <x v="71"/>
    <x v="6"/>
    <x v="1"/>
    <x v="2"/>
    <n v="4"/>
    <n v="40"/>
    <n v="160"/>
    <n v="0.06"/>
    <n v="9.6"/>
    <x v="1"/>
  </r>
  <r>
    <x v="72"/>
    <x v="6"/>
    <x v="1"/>
    <x v="1"/>
    <n v="4"/>
    <n v="40"/>
    <n v="160"/>
    <n v="0.03"/>
    <n v="4.8"/>
    <x v="2"/>
  </r>
  <r>
    <x v="73"/>
    <x v="6"/>
    <x v="1"/>
    <x v="1"/>
    <n v="15"/>
    <n v="40"/>
    <n v="600"/>
    <n v="0.02"/>
    <n v="12"/>
    <x v="3"/>
  </r>
  <r>
    <x v="74"/>
    <x v="6"/>
    <x v="1"/>
    <x v="2"/>
    <n v="20"/>
    <n v="40"/>
    <n v="800"/>
    <n v="0.01"/>
    <n v="8"/>
    <x v="4"/>
  </r>
  <r>
    <x v="75"/>
    <x v="6"/>
    <x v="3"/>
    <x v="4"/>
    <n v="14"/>
    <n v="16"/>
    <n v="224"/>
    <n v="0.06"/>
    <n v="13.44"/>
    <x v="5"/>
  </r>
  <r>
    <x v="76"/>
    <x v="7"/>
    <x v="4"/>
    <x v="2"/>
    <n v="11"/>
    <n v="150"/>
    <n v="1650"/>
    <n v="0.11"/>
    <n v="181.5"/>
    <x v="6"/>
  </r>
  <r>
    <x v="77"/>
    <x v="7"/>
    <x v="4"/>
    <x v="2"/>
    <n v="9"/>
    <n v="150"/>
    <n v="1350"/>
    <n v="0.02"/>
    <n v="27"/>
    <x v="7"/>
  </r>
  <r>
    <x v="78"/>
    <x v="7"/>
    <x v="3"/>
    <x v="4"/>
    <n v="11"/>
    <n v="16"/>
    <n v="176"/>
    <n v="0.12"/>
    <n v="21.12"/>
    <x v="8"/>
  </r>
  <r>
    <x v="79"/>
    <x v="7"/>
    <x v="1"/>
    <x v="2"/>
    <n v="13"/>
    <n v="40"/>
    <n v="520"/>
    <n v="0.02"/>
    <n v="10.4"/>
    <x v="9"/>
  </r>
  <r>
    <x v="80"/>
    <x v="7"/>
    <x v="1"/>
    <x v="2"/>
    <n v="4"/>
    <n v="40"/>
    <n v="160"/>
    <n v="0.1"/>
    <n v="16"/>
    <x v="10"/>
  </r>
  <r>
    <x v="81"/>
    <x v="7"/>
    <x v="2"/>
    <x v="0"/>
    <n v="3"/>
    <n v="230"/>
    <n v="690"/>
    <n v="0.11"/>
    <n v="75.900000000000006"/>
    <x v="11"/>
  </r>
  <r>
    <x v="82"/>
    <x v="7"/>
    <x v="0"/>
    <x v="2"/>
    <n v="6"/>
    <n v="80"/>
    <n v="480"/>
    <n v="0.09"/>
    <n v="43.2"/>
    <x v="0"/>
  </r>
  <r>
    <x v="83"/>
    <x v="7"/>
    <x v="4"/>
    <x v="0"/>
    <n v="9"/>
    <n v="150"/>
    <n v="1350"/>
    <n v="0.1"/>
    <n v="135"/>
    <x v="1"/>
  </r>
  <r>
    <x v="84"/>
    <x v="7"/>
    <x v="0"/>
    <x v="1"/>
    <n v="14"/>
    <n v="80"/>
    <n v="1120"/>
    <n v="0.11"/>
    <n v="123.2"/>
    <x v="2"/>
  </r>
  <r>
    <x v="85"/>
    <x v="7"/>
    <x v="0"/>
    <x v="0"/>
    <n v="18"/>
    <n v="80"/>
    <n v="1440"/>
    <n v="0.02"/>
    <n v="28.8"/>
    <x v="3"/>
  </r>
  <r>
    <x v="86"/>
    <x v="7"/>
    <x v="1"/>
    <x v="0"/>
    <n v="20"/>
    <n v="40"/>
    <n v="800"/>
    <n v="0.04"/>
    <n v="32"/>
    <x v="4"/>
  </r>
  <r>
    <x v="87"/>
    <x v="8"/>
    <x v="3"/>
    <x v="2"/>
    <n v="8"/>
    <n v="16"/>
    <n v="128"/>
    <n v="0.03"/>
    <n v="3.84"/>
    <x v="5"/>
  </r>
  <r>
    <x v="88"/>
    <x v="8"/>
    <x v="0"/>
    <x v="1"/>
    <n v="14"/>
    <n v="80"/>
    <n v="1120"/>
    <n v="0.06"/>
    <n v="67.2"/>
    <x v="6"/>
  </r>
  <r>
    <x v="89"/>
    <x v="8"/>
    <x v="4"/>
    <x v="0"/>
    <n v="20"/>
    <n v="150"/>
    <n v="3000"/>
    <n v="0.01"/>
    <n v="30"/>
    <x v="7"/>
  </r>
  <r>
    <x v="90"/>
    <x v="8"/>
    <x v="1"/>
    <x v="3"/>
    <n v="15"/>
    <n v="40"/>
    <n v="600"/>
    <n v="0.03"/>
    <n v="18"/>
    <x v="8"/>
  </r>
  <r>
    <x v="91"/>
    <x v="8"/>
    <x v="1"/>
    <x v="1"/>
    <n v="18"/>
    <n v="40"/>
    <n v="720"/>
    <n v="0.08"/>
    <n v="57.6"/>
    <x v="9"/>
  </r>
  <r>
    <x v="92"/>
    <x v="8"/>
    <x v="1"/>
    <x v="4"/>
    <n v="11"/>
    <n v="40"/>
    <n v="440"/>
    <n v="0.05"/>
    <n v="22"/>
    <x v="10"/>
  </r>
  <r>
    <x v="93"/>
    <x v="9"/>
    <x v="1"/>
    <x v="4"/>
    <n v="23"/>
    <n v="40"/>
    <n v="920"/>
    <n v="0.04"/>
    <n v="36.799999999999997"/>
    <x v="11"/>
  </r>
  <r>
    <x v="94"/>
    <x v="9"/>
    <x v="3"/>
    <x v="4"/>
    <n v="17"/>
    <n v="16"/>
    <n v="272"/>
    <n v="0.1"/>
    <n v="27.2"/>
    <x v="0"/>
  </r>
  <r>
    <x v="95"/>
    <x v="9"/>
    <x v="3"/>
    <x v="1"/>
    <n v="4"/>
    <n v="16"/>
    <n v="64"/>
    <n v="7.0000000000000007E-2"/>
    <n v="4.4800000000000004"/>
    <x v="1"/>
  </r>
  <r>
    <x v="96"/>
    <x v="9"/>
    <x v="0"/>
    <x v="2"/>
    <n v="23"/>
    <n v="80"/>
    <n v="1840"/>
    <n v="0.05"/>
    <n v="92"/>
    <x v="2"/>
  </r>
  <r>
    <x v="97"/>
    <x v="9"/>
    <x v="2"/>
    <x v="2"/>
    <n v="10"/>
    <n v="230"/>
    <n v="2300"/>
    <n v="0.02"/>
    <n v="46"/>
    <x v="3"/>
  </r>
  <r>
    <x v="98"/>
    <x v="9"/>
    <x v="3"/>
    <x v="2"/>
    <n v="14"/>
    <n v="16"/>
    <n v="224"/>
    <n v="0.01"/>
    <n v="2.2400000000000002"/>
    <x v="4"/>
  </r>
  <r>
    <x v="99"/>
    <x v="9"/>
    <x v="1"/>
    <x v="1"/>
    <n v="19"/>
    <n v="40"/>
    <n v="760"/>
    <n v="0.1"/>
    <n v="76"/>
    <x v="5"/>
  </r>
  <r>
    <x v="100"/>
    <x v="9"/>
    <x v="0"/>
    <x v="4"/>
    <n v="22"/>
    <n v="80"/>
    <n v="1760"/>
    <n v="0.09"/>
    <n v="158.4"/>
    <x v="6"/>
  </r>
  <r>
    <x v="101"/>
    <x v="9"/>
    <x v="3"/>
    <x v="0"/>
    <n v="18"/>
    <n v="16"/>
    <n v="288"/>
    <n v="0.05"/>
    <n v="14.4"/>
    <x v="7"/>
  </r>
  <r>
    <x v="102"/>
    <x v="9"/>
    <x v="1"/>
    <x v="0"/>
    <n v="18"/>
    <n v="40"/>
    <n v="720"/>
    <n v="0.11"/>
    <n v="79.2"/>
    <x v="8"/>
  </r>
  <r>
    <x v="103"/>
    <x v="9"/>
    <x v="1"/>
    <x v="4"/>
    <n v="21"/>
    <n v="40"/>
    <n v="840"/>
    <n v="0.01"/>
    <n v="8.4"/>
    <x v="9"/>
  </r>
  <r>
    <x v="104"/>
    <x v="9"/>
    <x v="0"/>
    <x v="0"/>
    <n v="6"/>
    <n v="80"/>
    <n v="480"/>
    <n v="7.0000000000000007E-2"/>
    <n v="33.6"/>
    <x v="10"/>
  </r>
  <r>
    <x v="105"/>
    <x v="9"/>
    <x v="4"/>
    <x v="4"/>
    <n v="17"/>
    <n v="150"/>
    <n v="2550"/>
    <n v="0.02"/>
    <n v="51"/>
    <x v="11"/>
  </r>
  <r>
    <x v="106"/>
    <x v="9"/>
    <x v="0"/>
    <x v="2"/>
    <n v="16"/>
    <n v="80"/>
    <n v="1280"/>
    <n v="0.02"/>
    <n v="25.6"/>
    <x v="0"/>
  </r>
  <r>
    <x v="107"/>
    <x v="9"/>
    <x v="1"/>
    <x v="1"/>
    <n v="15"/>
    <n v="40"/>
    <n v="600"/>
    <n v="0.04"/>
    <n v="24"/>
    <x v="1"/>
  </r>
  <r>
    <x v="108"/>
    <x v="9"/>
    <x v="2"/>
    <x v="3"/>
    <n v="2"/>
    <n v="230"/>
    <n v="460"/>
    <n v="0.08"/>
    <n v="36.799999999999997"/>
    <x v="2"/>
  </r>
  <r>
    <x v="109"/>
    <x v="9"/>
    <x v="1"/>
    <x v="4"/>
    <n v="3"/>
    <n v="40"/>
    <n v="120"/>
    <n v="0.03"/>
    <n v="3.6"/>
    <x v="3"/>
  </r>
  <r>
    <x v="110"/>
    <x v="9"/>
    <x v="2"/>
    <x v="4"/>
    <n v="21"/>
    <n v="230"/>
    <n v="4830"/>
    <n v="0.05"/>
    <n v="241.5"/>
    <x v="4"/>
  </r>
  <r>
    <x v="111"/>
    <x v="9"/>
    <x v="4"/>
    <x v="0"/>
    <n v="11"/>
    <n v="150"/>
    <n v="1650"/>
    <n v="0.05"/>
    <n v="82.5"/>
    <x v="5"/>
  </r>
  <r>
    <x v="112"/>
    <x v="10"/>
    <x v="4"/>
    <x v="1"/>
    <n v="15"/>
    <n v="150"/>
    <n v="2250"/>
    <n v="0.02"/>
    <n v="45"/>
    <x v="6"/>
  </r>
  <r>
    <x v="113"/>
    <x v="10"/>
    <x v="0"/>
    <x v="3"/>
    <n v="16"/>
    <n v="80"/>
    <n v="1280"/>
    <n v="0.1"/>
    <n v="128"/>
    <x v="7"/>
  </r>
  <r>
    <x v="114"/>
    <x v="10"/>
    <x v="2"/>
    <x v="4"/>
    <n v="17"/>
    <n v="230"/>
    <n v="3910"/>
    <n v="0.11"/>
    <n v="430.1"/>
    <x v="8"/>
  </r>
  <r>
    <x v="115"/>
    <x v="10"/>
    <x v="1"/>
    <x v="4"/>
    <n v="16"/>
    <n v="40"/>
    <n v="640"/>
    <n v="0.11"/>
    <n v="70.400000000000006"/>
    <x v="9"/>
  </r>
  <r>
    <x v="116"/>
    <x v="10"/>
    <x v="0"/>
    <x v="3"/>
    <n v="2"/>
    <n v="80"/>
    <n v="160"/>
    <n v="0.08"/>
    <n v="12.8"/>
    <x v="10"/>
  </r>
  <r>
    <x v="117"/>
    <x v="10"/>
    <x v="4"/>
    <x v="1"/>
    <n v="22"/>
    <n v="150"/>
    <n v="3300"/>
    <n v="0.02"/>
    <n v="66"/>
    <x v="11"/>
  </r>
  <r>
    <x v="118"/>
    <x v="10"/>
    <x v="0"/>
    <x v="0"/>
    <n v="16"/>
    <n v="80"/>
    <n v="1280"/>
    <n v="0.03"/>
    <n v="38.4"/>
    <x v="0"/>
  </r>
  <r>
    <x v="119"/>
    <x v="11"/>
    <x v="3"/>
    <x v="0"/>
    <n v="20"/>
    <n v="16"/>
    <n v="320"/>
    <n v="0.11"/>
    <n v="35.200000000000003"/>
    <x v="1"/>
  </r>
  <r>
    <x v="120"/>
    <x v="11"/>
    <x v="0"/>
    <x v="4"/>
    <n v="9"/>
    <n v="80"/>
    <n v="720"/>
    <n v="7.0000000000000007E-2"/>
    <n v="50.4"/>
    <x v="2"/>
  </r>
  <r>
    <x v="121"/>
    <x v="11"/>
    <x v="2"/>
    <x v="4"/>
    <n v="5"/>
    <n v="230"/>
    <n v="1150"/>
    <n v="0.12"/>
    <n v="138"/>
    <x v="3"/>
  </r>
  <r>
    <x v="122"/>
    <x v="11"/>
    <x v="3"/>
    <x v="0"/>
    <n v="20"/>
    <n v="16"/>
    <n v="320"/>
    <n v="0.01"/>
    <n v="3.2"/>
    <x v="4"/>
  </r>
  <r>
    <x v="123"/>
    <x v="11"/>
    <x v="3"/>
    <x v="0"/>
    <n v="16"/>
    <n v="16"/>
    <n v="256"/>
    <n v="0.03"/>
    <n v="7.68"/>
    <x v="5"/>
  </r>
  <r>
    <x v="124"/>
    <x v="11"/>
    <x v="4"/>
    <x v="3"/>
    <n v="15"/>
    <n v="150"/>
    <n v="2250"/>
    <n v="0.05"/>
    <n v="112.5"/>
    <x v="6"/>
  </r>
  <r>
    <x v="125"/>
    <x v="11"/>
    <x v="2"/>
    <x v="1"/>
    <n v="19"/>
    <n v="230"/>
    <n v="4370"/>
    <n v="0.11"/>
    <n v="480.7"/>
    <x v="7"/>
  </r>
  <r>
    <x v="126"/>
    <x v="12"/>
    <x v="4"/>
    <x v="2"/>
    <n v="2"/>
    <n v="150"/>
    <n v="300"/>
    <n v="0.02"/>
    <n v="6"/>
    <x v="8"/>
  </r>
  <r>
    <x v="127"/>
    <x v="12"/>
    <x v="0"/>
    <x v="4"/>
    <n v="16"/>
    <n v="80"/>
    <n v="1280"/>
    <n v="0.05"/>
    <n v="64"/>
    <x v="9"/>
  </r>
  <r>
    <x v="128"/>
    <x v="12"/>
    <x v="1"/>
    <x v="2"/>
    <n v="2"/>
    <n v="40"/>
    <n v="80"/>
    <n v="0.03"/>
    <n v="2.4"/>
    <x v="10"/>
  </r>
  <r>
    <x v="129"/>
    <x v="12"/>
    <x v="0"/>
    <x v="1"/>
    <n v="5"/>
    <n v="80"/>
    <n v="400"/>
    <n v="0.04"/>
    <n v="16"/>
    <x v="11"/>
  </r>
  <r>
    <x v="130"/>
    <x v="12"/>
    <x v="2"/>
    <x v="3"/>
    <n v="17"/>
    <n v="230"/>
    <n v="3910"/>
    <n v="0.12"/>
    <n v="469.2"/>
    <x v="0"/>
  </r>
  <r>
    <x v="131"/>
    <x v="12"/>
    <x v="0"/>
    <x v="0"/>
    <n v="8"/>
    <n v="80"/>
    <n v="640"/>
    <n v="0.08"/>
    <n v="51.2"/>
    <x v="1"/>
  </r>
  <r>
    <x v="132"/>
    <x v="12"/>
    <x v="1"/>
    <x v="1"/>
    <n v="4"/>
    <n v="40"/>
    <n v="160"/>
    <n v="0.06"/>
    <n v="9.6"/>
    <x v="2"/>
  </r>
  <r>
    <x v="133"/>
    <x v="12"/>
    <x v="3"/>
    <x v="2"/>
    <n v="17"/>
    <n v="16"/>
    <n v="272"/>
    <n v="0.05"/>
    <n v="13.6"/>
    <x v="3"/>
  </r>
  <r>
    <x v="134"/>
    <x v="12"/>
    <x v="2"/>
    <x v="3"/>
    <n v="8"/>
    <n v="230"/>
    <n v="1840"/>
    <n v="0.01"/>
    <n v="18.399999999999999"/>
    <x v="4"/>
  </r>
  <r>
    <x v="135"/>
    <x v="12"/>
    <x v="3"/>
    <x v="4"/>
    <n v="19"/>
    <n v="16"/>
    <n v="304"/>
    <n v="0.02"/>
    <n v="6.08"/>
    <x v="5"/>
  </r>
  <r>
    <x v="136"/>
    <x v="13"/>
    <x v="1"/>
    <x v="0"/>
    <n v="18"/>
    <n v="40"/>
    <n v="720"/>
    <n v="0.06"/>
    <n v="43.2"/>
    <x v="6"/>
  </r>
  <r>
    <x v="137"/>
    <x v="13"/>
    <x v="4"/>
    <x v="4"/>
    <n v="23"/>
    <n v="150"/>
    <n v="3450"/>
    <n v="0.08"/>
    <n v="276"/>
    <x v="7"/>
  </r>
  <r>
    <x v="138"/>
    <x v="13"/>
    <x v="2"/>
    <x v="0"/>
    <n v="5"/>
    <n v="230"/>
    <n v="1150"/>
    <n v="0.1"/>
    <n v="115"/>
    <x v="8"/>
  </r>
  <r>
    <x v="139"/>
    <x v="13"/>
    <x v="0"/>
    <x v="3"/>
    <n v="21"/>
    <n v="80"/>
    <n v="1680"/>
    <n v="0.02"/>
    <n v="33.6"/>
    <x v="9"/>
  </r>
  <r>
    <x v="140"/>
    <x v="13"/>
    <x v="3"/>
    <x v="2"/>
    <n v="6"/>
    <n v="16"/>
    <n v="96"/>
    <n v="7.0000000000000007E-2"/>
    <n v="6.72"/>
    <x v="0"/>
  </r>
  <r>
    <x v="141"/>
    <x v="13"/>
    <x v="1"/>
    <x v="0"/>
    <n v="9"/>
    <n v="40"/>
    <n v="360"/>
    <n v="0.01"/>
    <n v="3.6"/>
    <x v="1"/>
  </r>
  <r>
    <x v="142"/>
    <x v="13"/>
    <x v="2"/>
    <x v="1"/>
    <n v="9"/>
    <n v="230"/>
    <n v="2070"/>
    <n v="0.03"/>
    <n v="62.1"/>
    <x v="2"/>
  </r>
  <r>
    <x v="143"/>
    <x v="13"/>
    <x v="2"/>
    <x v="2"/>
    <n v="5"/>
    <n v="230"/>
    <n v="1150"/>
    <n v="0.1"/>
    <n v="115"/>
    <x v="3"/>
  </r>
  <r>
    <x v="144"/>
    <x v="13"/>
    <x v="1"/>
    <x v="3"/>
    <n v="7"/>
    <n v="40"/>
    <n v="280"/>
    <n v="0.11"/>
    <n v="30.8"/>
    <x v="4"/>
  </r>
  <r>
    <x v="145"/>
    <x v="13"/>
    <x v="2"/>
    <x v="0"/>
    <n v="20"/>
    <n v="230"/>
    <n v="4600"/>
    <n v="0.04"/>
    <n v="184"/>
    <x v="5"/>
  </r>
  <r>
    <x v="146"/>
    <x v="13"/>
    <x v="4"/>
    <x v="0"/>
    <n v="22"/>
    <n v="150"/>
    <n v="3300"/>
    <n v="7.0000000000000007E-2"/>
    <n v="231"/>
    <x v="6"/>
  </r>
  <r>
    <x v="147"/>
    <x v="14"/>
    <x v="2"/>
    <x v="2"/>
    <n v="6"/>
    <n v="230"/>
    <n v="1380"/>
    <n v="0.05"/>
    <n v="69"/>
    <x v="7"/>
  </r>
  <r>
    <x v="148"/>
    <x v="14"/>
    <x v="2"/>
    <x v="2"/>
    <n v="15"/>
    <n v="230"/>
    <n v="3450"/>
    <n v="0.11"/>
    <n v="379.5"/>
    <x v="8"/>
  </r>
  <r>
    <x v="149"/>
    <x v="14"/>
    <x v="1"/>
    <x v="1"/>
    <n v="8"/>
    <n v="40"/>
    <n v="320"/>
    <n v="0.09"/>
    <n v="28.8"/>
    <x v="9"/>
  </r>
  <r>
    <x v="150"/>
    <x v="14"/>
    <x v="1"/>
    <x v="0"/>
    <n v="5"/>
    <n v="40"/>
    <n v="200"/>
    <n v="0.06"/>
    <n v="12"/>
    <x v="10"/>
  </r>
  <r>
    <x v="151"/>
    <x v="14"/>
    <x v="0"/>
    <x v="4"/>
    <n v="6"/>
    <n v="80"/>
    <n v="480"/>
    <n v="0.09"/>
    <n v="43.2"/>
    <x v="11"/>
  </r>
  <r>
    <x v="152"/>
    <x v="14"/>
    <x v="1"/>
    <x v="3"/>
    <n v="22"/>
    <n v="40"/>
    <n v="880"/>
    <n v="0.01"/>
    <n v="8.8000000000000007"/>
    <x v="0"/>
  </r>
  <r>
    <x v="153"/>
    <x v="14"/>
    <x v="3"/>
    <x v="0"/>
    <n v="7"/>
    <n v="16"/>
    <n v="112"/>
    <n v="0.08"/>
    <n v="8.9600000000000009"/>
    <x v="1"/>
  </r>
  <r>
    <x v="154"/>
    <x v="14"/>
    <x v="4"/>
    <x v="2"/>
    <n v="22"/>
    <n v="150"/>
    <n v="3300"/>
    <n v="0.04"/>
    <n v="132"/>
    <x v="2"/>
  </r>
  <r>
    <x v="155"/>
    <x v="14"/>
    <x v="3"/>
    <x v="3"/>
    <n v="15"/>
    <n v="16"/>
    <n v="240"/>
    <n v="0.12"/>
    <n v="28.8"/>
    <x v="3"/>
  </r>
  <r>
    <x v="156"/>
    <x v="14"/>
    <x v="0"/>
    <x v="2"/>
    <n v="20"/>
    <n v="80"/>
    <n v="1600"/>
    <n v="7.0000000000000007E-2"/>
    <n v="112"/>
    <x v="4"/>
  </r>
  <r>
    <x v="157"/>
    <x v="14"/>
    <x v="0"/>
    <x v="2"/>
    <n v="7"/>
    <n v="80"/>
    <n v="560"/>
    <n v="0.05"/>
    <n v="28"/>
    <x v="5"/>
  </r>
  <r>
    <x v="158"/>
    <x v="14"/>
    <x v="0"/>
    <x v="1"/>
    <n v="10"/>
    <n v="80"/>
    <n v="800"/>
    <n v="0.11"/>
    <n v="88"/>
    <x v="6"/>
  </r>
  <r>
    <x v="159"/>
    <x v="14"/>
    <x v="0"/>
    <x v="1"/>
    <n v="2"/>
    <n v="80"/>
    <n v="160"/>
    <n v="7.0000000000000007E-2"/>
    <n v="11.2"/>
    <x v="7"/>
  </r>
  <r>
    <x v="160"/>
    <x v="14"/>
    <x v="3"/>
    <x v="4"/>
    <n v="23"/>
    <n v="16"/>
    <n v="368"/>
    <n v="0.01"/>
    <n v="3.68"/>
    <x v="8"/>
  </r>
  <r>
    <x v="161"/>
    <x v="14"/>
    <x v="2"/>
    <x v="1"/>
    <n v="12"/>
    <n v="230"/>
    <n v="2760"/>
    <n v="0.03"/>
    <n v="82.8"/>
    <x v="9"/>
  </r>
  <r>
    <x v="162"/>
    <x v="15"/>
    <x v="2"/>
    <x v="0"/>
    <n v="7"/>
    <n v="230"/>
    <n v="1610"/>
    <n v="0.08"/>
    <n v="128.80000000000001"/>
    <x v="10"/>
  </r>
  <r>
    <x v="163"/>
    <x v="15"/>
    <x v="1"/>
    <x v="3"/>
    <n v="11"/>
    <n v="40"/>
    <n v="440"/>
    <n v="0.06"/>
    <n v="26.4"/>
    <x v="11"/>
  </r>
  <r>
    <x v="164"/>
    <x v="15"/>
    <x v="2"/>
    <x v="1"/>
    <n v="7"/>
    <n v="230"/>
    <n v="1610"/>
    <n v="0.08"/>
    <n v="128.80000000000001"/>
    <x v="0"/>
  </r>
  <r>
    <x v="165"/>
    <x v="15"/>
    <x v="0"/>
    <x v="0"/>
    <n v="8"/>
    <n v="80"/>
    <n v="640"/>
    <n v="0.09"/>
    <n v="57.6"/>
    <x v="1"/>
  </r>
  <r>
    <x v="166"/>
    <x v="15"/>
    <x v="0"/>
    <x v="3"/>
    <n v="16"/>
    <n v="80"/>
    <n v="1280"/>
    <n v="7.0000000000000007E-2"/>
    <n v="89.6"/>
    <x v="2"/>
  </r>
  <r>
    <x v="167"/>
    <x v="15"/>
    <x v="0"/>
    <x v="2"/>
    <n v="16"/>
    <n v="80"/>
    <n v="1280"/>
    <n v="0.04"/>
    <n v="51.2"/>
    <x v="3"/>
  </r>
  <r>
    <x v="168"/>
    <x v="15"/>
    <x v="3"/>
    <x v="2"/>
    <n v="9"/>
    <n v="16"/>
    <n v="144"/>
    <n v="0.05"/>
    <n v="7.2"/>
    <x v="4"/>
  </r>
  <r>
    <x v="169"/>
    <x v="15"/>
    <x v="4"/>
    <x v="4"/>
    <n v="11"/>
    <n v="150"/>
    <n v="1650"/>
    <n v="0.09"/>
    <n v="148.5"/>
    <x v="5"/>
  </r>
  <r>
    <x v="170"/>
    <x v="15"/>
    <x v="3"/>
    <x v="0"/>
    <n v="4"/>
    <n v="16"/>
    <n v="64"/>
    <n v="0.12"/>
    <n v="7.68"/>
    <x v="6"/>
  </r>
  <r>
    <x v="171"/>
    <x v="15"/>
    <x v="1"/>
    <x v="3"/>
    <n v="15"/>
    <n v="40"/>
    <n v="600"/>
    <n v="0.03"/>
    <n v="18"/>
    <x v="7"/>
  </r>
  <r>
    <x v="172"/>
    <x v="15"/>
    <x v="1"/>
    <x v="4"/>
    <n v="20"/>
    <n v="40"/>
    <n v="800"/>
    <n v="0.03"/>
    <n v="24"/>
    <x v="8"/>
  </r>
  <r>
    <x v="173"/>
    <x v="16"/>
    <x v="4"/>
    <x v="2"/>
    <n v="9"/>
    <n v="150"/>
    <n v="1350"/>
    <n v="0.06"/>
    <n v="81"/>
    <x v="9"/>
  </r>
  <r>
    <x v="174"/>
    <x v="16"/>
    <x v="1"/>
    <x v="1"/>
    <n v="23"/>
    <n v="40"/>
    <n v="920"/>
    <n v="0.06"/>
    <n v="55.2"/>
    <x v="10"/>
  </r>
  <r>
    <x v="175"/>
    <x v="16"/>
    <x v="0"/>
    <x v="4"/>
    <n v="13"/>
    <n v="80"/>
    <n v="1040"/>
    <n v="0.05"/>
    <n v="52"/>
    <x v="11"/>
  </r>
  <r>
    <x v="176"/>
    <x v="16"/>
    <x v="3"/>
    <x v="0"/>
    <n v="22"/>
    <n v="16"/>
    <n v="352"/>
    <n v="0.01"/>
    <n v="3.52"/>
    <x v="0"/>
  </r>
  <r>
    <x v="177"/>
    <x v="16"/>
    <x v="1"/>
    <x v="0"/>
    <n v="19"/>
    <n v="40"/>
    <n v="760"/>
    <n v="0.04"/>
    <n v="30.4"/>
    <x v="1"/>
  </r>
  <r>
    <x v="178"/>
    <x v="16"/>
    <x v="0"/>
    <x v="3"/>
    <n v="4"/>
    <n v="80"/>
    <n v="320"/>
    <n v="0.11"/>
    <n v="35.200000000000003"/>
    <x v="2"/>
  </r>
  <r>
    <x v="179"/>
    <x v="16"/>
    <x v="3"/>
    <x v="0"/>
    <n v="12"/>
    <n v="16"/>
    <n v="192"/>
    <n v="0.11"/>
    <n v="21.12"/>
    <x v="3"/>
  </r>
  <r>
    <x v="180"/>
    <x v="16"/>
    <x v="4"/>
    <x v="1"/>
    <n v="16"/>
    <n v="150"/>
    <n v="2400"/>
    <n v="0.08"/>
    <n v="192"/>
    <x v="4"/>
  </r>
  <r>
    <x v="181"/>
    <x v="16"/>
    <x v="0"/>
    <x v="0"/>
    <n v="7"/>
    <n v="80"/>
    <n v="560"/>
    <n v="0.02"/>
    <n v="11.2"/>
    <x v="5"/>
  </r>
  <r>
    <x v="182"/>
    <x v="16"/>
    <x v="1"/>
    <x v="4"/>
    <n v="20"/>
    <n v="40"/>
    <n v="800"/>
    <n v="7.0000000000000007E-2"/>
    <n v="56"/>
    <x v="6"/>
  </r>
  <r>
    <x v="183"/>
    <x v="16"/>
    <x v="0"/>
    <x v="1"/>
    <n v="15"/>
    <n v="80"/>
    <n v="1200"/>
    <n v="0.12"/>
    <n v="144"/>
    <x v="7"/>
  </r>
  <r>
    <x v="184"/>
    <x v="16"/>
    <x v="1"/>
    <x v="0"/>
    <n v="5"/>
    <n v="40"/>
    <n v="200"/>
    <n v="0.09"/>
    <n v="18"/>
    <x v="8"/>
  </r>
  <r>
    <x v="185"/>
    <x v="16"/>
    <x v="3"/>
    <x v="4"/>
    <n v="12"/>
    <n v="16"/>
    <n v="192"/>
    <n v="0.04"/>
    <n v="7.68"/>
    <x v="9"/>
  </r>
  <r>
    <x v="186"/>
    <x v="17"/>
    <x v="4"/>
    <x v="3"/>
    <n v="3"/>
    <n v="150"/>
    <n v="450"/>
    <n v="0.01"/>
    <n v="4.5"/>
    <x v="10"/>
  </r>
  <r>
    <x v="187"/>
    <x v="17"/>
    <x v="1"/>
    <x v="4"/>
    <n v="7"/>
    <n v="40"/>
    <n v="280"/>
    <n v="0.12"/>
    <n v="33.6"/>
    <x v="11"/>
  </r>
  <r>
    <x v="188"/>
    <x v="17"/>
    <x v="0"/>
    <x v="1"/>
    <n v="2"/>
    <n v="80"/>
    <n v="160"/>
    <n v="0.04"/>
    <n v="6.4"/>
    <x v="0"/>
  </r>
  <r>
    <x v="189"/>
    <x v="17"/>
    <x v="1"/>
    <x v="3"/>
    <n v="6"/>
    <n v="40"/>
    <n v="240"/>
    <n v="7.0000000000000007E-2"/>
    <n v="16.8"/>
    <x v="1"/>
  </r>
  <r>
    <x v="190"/>
    <x v="17"/>
    <x v="3"/>
    <x v="2"/>
    <n v="6"/>
    <n v="16"/>
    <n v="96"/>
    <n v="0.06"/>
    <n v="5.76"/>
    <x v="2"/>
  </r>
  <r>
    <x v="191"/>
    <x v="17"/>
    <x v="3"/>
    <x v="0"/>
    <n v="7"/>
    <n v="16"/>
    <n v="112"/>
    <n v="0.02"/>
    <n v="2.2400000000000002"/>
    <x v="3"/>
  </r>
  <r>
    <x v="192"/>
    <x v="17"/>
    <x v="3"/>
    <x v="1"/>
    <n v="20"/>
    <n v="16"/>
    <n v="320"/>
    <n v="0.06"/>
    <n v="19.2"/>
    <x v="4"/>
  </r>
  <r>
    <x v="193"/>
    <x v="17"/>
    <x v="3"/>
    <x v="1"/>
    <n v="21"/>
    <n v="16"/>
    <n v="336"/>
    <n v="0.02"/>
    <n v="6.72"/>
    <x v="5"/>
  </r>
  <r>
    <x v="194"/>
    <x v="17"/>
    <x v="0"/>
    <x v="3"/>
    <n v="21"/>
    <n v="80"/>
    <n v="1680"/>
    <n v="0.05"/>
    <n v="84"/>
    <x v="6"/>
  </r>
  <r>
    <x v="195"/>
    <x v="17"/>
    <x v="3"/>
    <x v="3"/>
    <n v="10"/>
    <n v="16"/>
    <n v="160"/>
    <n v="0.01"/>
    <n v="1.6"/>
    <x v="7"/>
  </r>
  <r>
    <x v="196"/>
    <x v="18"/>
    <x v="2"/>
    <x v="3"/>
    <n v="2"/>
    <n v="230"/>
    <n v="460"/>
    <n v="0.09"/>
    <n v="41.4"/>
    <x v="8"/>
  </r>
  <r>
    <x v="197"/>
    <x v="18"/>
    <x v="4"/>
    <x v="0"/>
    <n v="20"/>
    <n v="150"/>
    <n v="3000"/>
    <n v="0.03"/>
    <n v="90"/>
    <x v="9"/>
  </r>
  <r>
    <x v="198"/>
    <x v="18"/>
    <x v="1"/>
    <x v="0"/>
    <n v="23"/>
    <n v="40"/>
    <n v="920"/>
    <n v="0.03"/>
    <n v="27.6"/>
    <x v="10"/>
  </r>
  <r>
    <x v="199"/>
    <x v="18"/>
    <x v="0"/>
    <x v="3"/>
    <n v="17"/>
    <n v="80"/>
    <n v="1360"/>
    <n v="0.05"/>
    <n v="68"/>
    <x v="11"/>
  </r>
  <r>
    <x v="200"/>
    <x v="18"/>
    <x v="2"/>
    <x v="3"/>
    <n v="11"/>
    <n v="230"/>
    <n v="2530"/>
    <n v="0.12"/>
    <n v="303.60000000000002"/>
    <x v="0"/>
  </r>
  <r>
    <x v="201"/>
    <x v="18"/>
    <x v="4"/>
    <x v="1"/>
    <n v="10"/>
    <n v="150"/>
    <n v="1500"/>
    <n v="0.01"/>
    <n v="15"/>
    <x v="1"/>
  </r>
  <r>
    <x v="202"/>
    <x v="18"/>
    <x v="0"/>
    <x v="1"/>
    <n v="17"/>
    <n v="80"/>
    <n v="1360"/>
    <n v="0.03"/>
    <n v="40.799999999999997"/>
    <x v="2"/>
  </r>
  <r>
    <x v="203"/>
    <x v="19"/>
    <x v="2"/>
    <x v="0"/>
    <n v="9"/>
    <n v="230"/>
    <n v="2070"/>
    <n v="7.0000000000000007E-2"/>
    <n v="144.9"/>
    <x v="3"/>
  </r>
  <r>
    <x v="204"/>
    <x v="19"/>
    <x v="2"/>
    <x v="0"/>
    <n v="11"/>
    <n v="230"/>
    <n v="2530"/>
    <n v="0.02"/>
    <n v="50.6"/>
    <x v="4"/>
  </r>
  <r>
    <x v="205"/>
    <x v="19"/>
    <x v="1"/>
    <x v="2"/>
    <n v="2"/>
    <n v="40"/>
    <n v="80"/>
    <n v="0.02"/>
    <n v="1.6"/>
    <x v="5"/>
  </r>
  <r>
    <x v="206"/>
    <x v="19"/>
    <x v="2"/>
    <x v="4"/>
    <n v="3"/>
    <n v="230"/>
    <n v="690"/>
    <n v="0.1"/>
    <n v="69"/>
    <x v="6"/>
  </r>
  <r>
    <x v="207"/>
    <x v="19"/>
    <x v="1"/>
    <x v="4"/>
    <n v="7"/>
    <n v="40"/>
    <n v="280"/>
    <n v="0.05"/>
    <n v="14"/>
    <x v="7"/>
  </r>
  <r>
    <x v="208"/>
    <x v="19"/>
    <x v="4"/>
    <x v="1"/>
    <n v="20"/>
    <n v="150"/>
    <n v="3000"/>
    <n v="0.09"/>
    <n v="270"/>
    <x v="8"/>
  </r>
  <r>
    <x v="209"/>
    <x v="19"/>
    <x v="1"/>
    <x v="2"/>
    <n v="4"/>
    <n v="40"/>
    <n v="160"/>
    <n v="0.11"/>
    <n v="17.600000000000001"/>
    <x v="9"/>
  </r>
  <r>
    <x v="210"/>
    <x v="20"/>
    <x v="2"/>
    <x v="2"/>
    <n v="2"/>
    <n v="230"/>
    <n v="460"/>
    <n v="0.09"/>
    <n v="41.4"/>
    <x v="0"/>
  </r>
  <r>
    <x v="211"/>
    <x v="20"/>
    <x v="1"/>
    <x v="1"/>
    <n v="7"/>
    <n v="40"/>
    <n v="280"/>
    <n v="0.01"/>
    <n v="2.8"/>
    <x v="1"/>
  </r>
  <r>
    <x v="212"/>
    <x v="20"/>
    <x v="1"/>
    <x v="0"/>
    <n v="2"/>
    <n v="40"/>
    <n v="80"/>
    <n v="0.12"/>
    <n v="9.6"/>
    <x v="2"/>
  </r>
  <r>
    <x v="213"/>
    <x v="20"/>
    <x v="0"/>
    <x v="1"/>
    <n v="3"/>
    <n v="80"/>
    <n v="240"/>
    <n v="0.02"/>
    <n v="4.8"/>
    <x v="3"/>
  </r>
  <r>
    <x v="214"/>
    <x v="20"/>
    <x v="3"/>
    <x v="0"/>
    <n v="18"/>
    <n v="16"/>
    <n v="288"/>
    <n v="0.11"/>
    <n v="31.68"/>
    <x v="4"/>
  </r>
  <r>
    <x v="215"/>
    <x v="20"/>
    <x v="0"/>
    <x v="1"/>
    <n v="5"/>
    <n v="80"/>
    <n v="400"/>
    <n v="7.0000000000000007E-2"/>
    <n v="28"/>
    <x v="5"/>
  </r>
  <r>
    <x v="216"/>
    <x v="20"/>
    <x v="3"/>
    <x v="2"/>
    <n v="3"/>
    <n v="16"/>
    <n v="48"/>
    <n v="0.05"/>
    <n v="2.4"/>
    <x v="6"/>
  </r>
  <r>
    <x v="217"/>
    <x v="20"/>
    <x v="0"/>
    <x v="3"/>
    <n v="7"/>
    <n v="80"/>
    <n v="560"/>
    <n v="0.02"/>
    <n v="11.2"/>
    <x v="7"/>
  </r>
  <r>
    <x v="218"/>
    <x v="20"/>
    <x v="4"/>
    <x v="3"/>
    <n v="15"/>
    <n v="150"/>
    <n v="2250"/>
    <n v="0.08"/>
    <n v="180"/>
    <x v="8"/>
  </r>
  <r>
    <x v="219"/>
    <x v="20"/>
    <x v="0"/>
    <x v="2"/>
    <n v="10"/>
    <n v="80"/>
    <n v="800"/>
    <n v="0.11"/>
    <n v="88"/>
    <x v="9"/>
  </r>
  <r>
    <x v="220"/>
    <x v="20"/>
    <x v="2"/>
    <x v="4"/>
    <n v="13"/>
    <n v="230"/>
    <n v="2990"/>
    <n v="0.06"/>
    <n v="179.4"/>
    <x v="10"/>
  </r>
  <r>
    <x v="221"/>
    <x v="20"/>
    <x v="1"/>
    <x v="0"/>
    <n v="7"/>
    <n v="40"/>
    <n v="280"/>
    <n v="0.1"/>
    <n v="28"/>
    <x v="11"/>
  </r>
  <r>
    <x v="222"/>
    <x v="20"/>
    <x v="3"/>
    <x v="2"/>
    <n v="6"/>
    <n v="16"/>
    <n v="96"/>
    <n v="0.01"/>
    <n v="0.96"/>
    <x v="0"/>
  </r>
  <r>
    <x v="223"/>
    <x v="21"/>
    <x v="1"/>
    <x v="2"/>
    <n v="11"/>
    <n v="40"/>
    <n v="440"/>
    <n v="0.05"/>
    <n v="22"/>
    <x v="1"/>
  </r>
  <r>
    <x v="224"/>
    <x v="21"/>
    <x v="0"/>
    <x v="3"/>
    <n v="8"/>
    <n v="80"/>
    <n v="640"/>
    <n v="0.06"/>
    <n v="38.4"/>
    <x v="2"/>
  </r>
  <r>
    <x v="225"/>
    <x v="21"/>
    <x v="0"/>
    <x v="0"/>
    <n v="9"/>
    <n v="80"/>
    <n v="720"/>
    <n v="0.04"/>
    <n v="28.8"/>
    <x v="3"/>
  </r>
  <r>
    <x v="226"/>
    <x v="21"/>
    <x v="1"/>
    <x v="4"/>
    <n v="4"/>
    <n v="40"/>
    <n v="160"/>
    <n v="0.09"/>
    <n v="14.4"/>
    <x v="4"/>
  </r>
  <r>
    <x v="227"/>
    <x v="21"/>
    <x v="0"/>
    <x v="1"/>
    <n v="13"/>
    <n v="80"/>
    <n v="1040"/>
    <n v="0.06"/>
    <n v="62.4"/>
    <x v="5"/>
  </r>
  <r>
    <x v="228"/>
    <x v="21"/>
    <x v="4"/>
    <x v="4"/>
    <n v="4"/>
    <n v="150"/>
    <n v="600"/>
    <n v="0.05"/>
    <n v="30"/>
    <x v="6"/>
  </r>
  <r>
    <x v="229"/>
    <x v="21"/>
    <x v="2"/>
    <x v="2"/>
    <n v="14"/>
    <n v="230"/>
    <n v="3220"/>
    <n v="0.12"/>
    <n v="386.4"/>
    <x v="7"/>
  </r>
  <r>
    <x v="230"/>
    <x v="21"/>
    <x v="4"/>
    <x v="4"/>
    <n v="13"/>
    <n v="150"/>
    <n v="1950"/>
    <n v="0.11"/>
    <n v="214.5"/>
    <x v="8"/>
  </r>
  <r>
    <x v="231"/>
    <x v="21"/>
    <x v="4"/>
    <x v="1"/>
    <n v="16"/>
    <n v="150"/>
    <n v="2400"/>
    <n v="0.03"/>
    <n v="72"/>
    <x v="9"/>
  </r>
  <r>
    <x v="232"/>
    <x v="21"/>
    <x v="3"/>
    <x v="0"/>
    <n v="7"/>
    <n v="16"/>
    <n v="112"/>
    <n v="0.12"/>
    <n v="13.44"/>
    <x v="10"/>
  </r>
  <r>
    <x v="233"/>
    <x v="21"/>
    <x v="4"/>
    <x v="3"/>
    <n v="9"/>
    <n v="150"/>
    <n v="1350"/>
    <n v="0.02"/>
    <n v="27"/>
    <x v="11"/>
  </r>
  <r>
    <x v="234"/>
    <x v="21"/>
    <x v="3"/>
    <x v="0"/>
    <n v="10"/>
    <n v="16"/>
    <n v="160"/>
    <n v="0.08"/>
    <n v="12.8"/>
    <x v="0"/>
  </r>
  <r>
    <x v="235"/>
    <x v="21"/>
    <x v="0"/>
    <x v="3"/>
    <n v="15"/>
    <n v="80"/>
    <n v="1200"/>
    <n v="0.08"/>
    <n v="96"/>
    <x v="1"/>
  </r>
  <r>
    <x v="236"/>
    <x v="21"/>
    <x v="0"/>
    <x v="4"/>
    <n v="9"/>
    <n v="80"/>
    <n v="720"/>
    <n v="0.06"/>
    <n v="43.2"/>
    <x v="2"/>
  </r>
  <r>
    <x v="237"/>
    <x v="22"/>
    <x v="3"/>
    <x v="3"/>
    <n v="7"/>
    <n v="16"/>
    <n v="112"/>
    <n v="0.08"/>
    <n v="8.9600000000000009"/>
    <x v="3"/>
  </r>
  <r>
    <x v="238"/>
    <x v="22"/>
    <x v="4"/>
    <x v="4"/>
    <n v="7"/>
    <n v="150"/>
    <n v="1050"/>
    <n v="0.03"/>
    <n v="31.5"/>
    <x v="4"/>
  </r>
  <r>
    <x v="239"/>
    <x v="22"/>
    <x v="2"/>
    <x v="3"/>
    <n v="16"/>
    <n v="230"/>
    <n v="3680"/>
    <n v="0.11"/>
    <n v="404.8"/>
    <x v="5"/>
  </r>
  <r>
    <x v="240"/>
    <x v="22"/>
    <x v="3"/>
    <x v="3"/>
    <n v="18"/>
    <n v="16"/>
    <n v="288"/>
    <n v="0.04"/>
    <n v="11.52"/>
    <x v="6"/>
  </r>
  <r>
    <x v="241"/>
    <x v="22"/>
    <x v="2"/>
    <x v="4"/>
    <n v="20"/>
    <n v="230"/>
    <n v="4600"/>
    <n v="0.11"/>
    <n v="506"/>
    <x v="7"/>
  </r>
  <r>
    <x v="242"/>
    <x v="22"/>
    <x v="4"/>
    <x v="0"/>
    <n v="7"/>
    <n v="150"/>
    <n v="1050"/>
    <n v="0.02"/>
    <n v="21"/>
    <x v="8"/>
  </r>
  <r>
    <x v="243"/>
    <x v="22"/>
    <x v="3"/>
    <x v="2"/>
    <n v="11"/>
    <n v="16"/>
    <n v="176"/>
    <n v="0.12"/>
    <n v="21.12"/>
    <x v="9"/>
  </r>
  <r>
    <x v="244"/>
    <x v="22"/>
    <x v="1"/>
    <x v="2"/>
    <n v="12"/>
    <n v="40"/>
    <n v="480"/>
    <n v="0.02"/>
    <n v="9.6"/>
    <x v="10"/>
  </r>
  <r>
    <x v="245"/>
    <x v="22"/>
    <x v="4"/>
    <x v="4"/>
    <n v="7"/>
    <n v="150"/>
    <n v="1050"/>
    <n v="0.02"/>
    <n v="21"/>
    <x v="11"/>
  </r>
  <r>
    <x v="246"/>
    <x v="22"/>
    <x v="0"/>
    <x v="2"/>
    <n v="14"/>
    <n v="80"/>
    <n v="1120"/>
    <n v="0.1"/>
    <n v="112"/>
    <x v="0"/>
  </r>
  <r>
    <x v="247"/>
    <x v="22"/>
    <x v="2"/>
    <x v="2"/>
    <n v="12"/>
    <n v="230"/>
    <n v="2760"/>
    <n v="0.06"/>
    <n v="165.6"/>
    <x v="1"/>
  </r>
  <r>
    <x v="248"/>
    <x v="23"/>
    <x v="0"/>
    <x v="1"/>
    <n v="21"/>
    <n v="80"/>
    <n v="1680"/>
    <n v="0.04"/>
    <n v="67.2"/>
    <x v="2"/>
  </r>
  <r>
    <x v="249"/>
    <x v="23"/>
    <x v="4"/>
    <x v="0"/>
    <n v="8"/>
    <n v="150"/>
    <n v="1200"/>
    <n v="0.09"/>
    <n v="108"/>
    <x v="3"/>
  </r>
  <r>
    <x v="250"/>
    <x v="23"/>
    <x v="0"/>
    <x v="1"/>
    <n v="16"/>
    <n v="80"/>
    <n v="1280"/>
    <n v="0.04"/>
    <n v="51.2"/>
    <x v="4"/>
  </r>
  <r>
    <x v="251"/>
    <x v="23"/>
    <x v="2"/>
    <x v="1"/>
    <n v="14"/>
    <n v="230"/>
    <n v="3220"/>
    <n v="0.05"/>
    <n v="161"/>
    <x v="5"/>
  </r>
  <r>
    <x v="252"/>
    <x v="23"/>
    <x v="1"/>
    <x v="2"/>
    <n v="2"/>
    <n v="40"/>
    <n v="80"/>
    <n v="0.03"/>
    <n v="2.4"/>
    <x v="6"/>
  </r>
  <r>
    <x v="253"/>
    <x v="23"/>
    <x v="4"/>
    <x v="0"/>
    <n v="4"/>
    <n v="150"/>
    <n v="600"/>
    <n v="0.1"/>
    <n v="60"/>
    <x v="7"/>
  </r>
  <r>
    <x v="254"/>
    <x v="23"/>
    <x v="0"/>
    <x v="2"/>
    <n v="6"/>
    <n v="80"/>
    <n v="480"/>
    <n v="0.01"/>
    <n v="4.8"/>
    <x v="8"/>
  </r>
  <r>
    <x v="255"/>
    <x v="23"/>
    <x v="1"/>
    <x v="2"/>
    <n v="6"/>
    <n v="40"/>
    <n v="240"/>
    <n v="0.06"/>
    <n v="14.4"/>
    <x v="9"/>
  </r>
  <r>
    <x v="256"/>
    <x v="23"/>
    <x v="4"/>
    <x v="0"/>
    <n v="20"/>
    <n v="150"/>
    <n v="3000"/>
    <n v="0.04"/>
    <n v="120"/>
    <x v="10"/>
  </r>
  <r>
    <x v="257"/>
    <x v="23"/>
    <x v="1"/>
    <x v="2"/>
    <n v="18"/>
    <n v="40"/>
    <n v="720"/>
    <n v="0.03"/>
    <n v="21.6"/>
    <x v="11"/>
  </r>
  <r>
    <x v="258"/>
    <x v="23"/>
    <x v="2"/>
    <x v="3"/>
    <n v="18"/>
    <n v="230"/>
    <n v="4140"/>
    <n v="0.01"/>
    <n v="41.4"/>
    <x v="0"/>
  </r>
  <r>
    <x v="259"/>
    <x v="23"/>
    <x v="2"/>
    <x v="2"/>
    <n v="15"/>
    <n v="230"/>
    <n v="3450"/>
    <n v="0.04"/>
    <n v="138"/>
    <x v="1"/>
  </r>
  <r>
    <x v="260"/>
    <x v="23"/>
    <x v="3"/>
    <x v="1"/>
    <n v="22"/>
    <n v="16"/>
    <n v="352"/>
    <n v="0.01"/>
    <n v="3.52"/>
    <x v="2"/>
  </r>
  <r>
    <x v="261"/>
    <x v="23"/>
    <x v="4"/>
    <x v="0"/>
    <n v="17"/>
    <n v="150"/>
    <n v="2550"/>
    <n v="0.12"/>
    <n v="306"/>
    <x v="3"/>
  </r>
  <r>
    <x v="262"/>
    <x v="24"/>
    <x v="3"/>
    <x v="1"/>
    <n v="5"/>
    <n v="16"/>
    <n v="80"/>
    <n v="0.11"/>
    <n v="8.8000000000000007"/>
    <x v="4"/>
  </r>
  <r>
    <x v="263"/>
    <x v="24"/>
    <x v="4"/>
    <x v="0"/>
    <n v="23"/>
    <n v="150"/>
    <n v="3450"/>
    <n v="0.1"/>
    <n v="345"/>
    <x v="5"/>
  </r>
  <r>
    <x v="264"/>
    <x v="24"/>
    <x v="4"/>
    <x v="3"/>
    <n v="22"/>
    <n v="150"/>
    <n v="3300"/>
    <n v="0.05"/>
    <n v="165"/>
    <x v="6"/>
  </r>
  <r>
    <x v="265"/>
    <x v="24"/>
    <x v="3"/>
    <x v="4"/>
    <n v="15"/>
    <n v="16"/>
    <n v="240"/>
    <n v="0.01"/>
    <n v="2.4"/>
    <x v="7"/>
  </r>
  <r>
    <x v="266"/>
    <x v="24"/>
    <x v="1"/>
    <x v="3"/>
    <n v="7"/>
    <n v="40"/>
    <n v="280"/>
    <n v="7.0000000000000007E-2"/>
    <n v="19.600000000000001"/>
    <x v="8"/>
  </r>
  <r>
    <x v="267"/>
    <x v="24"/>
    <x v="0"/>
    <x v="4"/>
    <n v="22"/>
    <n v="80"/>
    <n v="1760"/>
    <n v="0.11"/>
    <n v="193.6"/>
    <x v="9"/>
  </r>
  <r>
    <x v="268"/>
    <x v="24"/>
    <x v="4"/>
    <x v="2"/>
    <n v="11"/>
    <n v="150"/>
    <n v="1650"/>
    <n v="0.05"/>
    <n v="82.5"/>
    <x v="10"/>
  </r>
  <r>
    <x v="269"/>
    <x v="24"/>
    <x v="1"/>
    <x v="1"/>
    <n v="21"/>
    <n v="40"/>
    <n v="840"/>
    <n v="0.03"/>
    <n v="25.2"/>
    <x v="11"/>
  </r>
  <r>
    <x v="270"/>
    <x v="24"/>
    <x v="0"/>
    <x v="3"/>
    <n v="23"/>
    <n v="80"/>
    <n v="1840"/>
    <n v="0.11"/>
    <n v="202.4"/>
    <x v="0"/>
  </r>
  <r>
    <x v="271"/>
    <x v="24"/>
    <x v="2"/>
    <x v="2"/>
    <n v="7"/>
    <n v="230"/>
    <n v="1610"/>
    <n v="0.01"/>
    <n v="16.100000000000001"/>
    <x v="1"/>
  </r>
  <r>
    <x v="272"/>
    <x v="24"/>
    <x v="2"/>
    <x v="0"/>
    <n v="16"/>
    <n v="230"/>
    <n v="3680"/>
    <n v="7.0000000000000007E-2"/>
    <n v="257.60000000000002"/>
    <x v="2"/>
  </r>
  <r>
    <x v="273"/>
    <x v="24"/>
    <x v="0"/>
    <x v="1"/>
    <n v="14"/>
    <n v="80"/>
    <n v="1120"/>
    <n v="0.11"/>
    <n v="123.2"/>
    <x v="3"/>
  </r>
  <r>
    <x v="274"/>
    <x v="24"/>
    <x v="4"/>
    <x v="2"/>
    <n v="22"/>
    <n v="150"/>
    <n v="3300"/>
    <n v="0.09"/>
    <n v="297"/>
    <x v="4"/>
  </r>
  <r>
    <x v="275"/>
    <x v="24"/>
    <x v="4"/>
    <x v="3"/>
    <n v="4"/>
    <n v="150"/>
    <n v="600"/>
    <n v="0.12"/>
    <n v="72"/>
    <x v="5"/>
  </r>
  <r>
    <x v="276"/>
    <x v="24"/>
    <x v="4"/>
    <x v="0"/>
    <n v="3"/>
    <n v="150"/>
    <n v="450"/>
    <n v="0.03"/>
    <n v="13.5"/>
    <x v="6"/>
  </r>
  <r>
    <x v="277"/>
    <x v="24"/>
    <x v="1"/>
    <x v="4"/>
    <n v="17"/>
    <n v="40"/>
    <n v="680"/>
    <n v="0.02"/>
    <n v="13.6"/>
    <x v="7"/>
  </r>
  <r>
    <x v="278"/>
    <x v="24"/>
    <x v="0"/>
    <x v="4"/>
    <n v="22"/>
    <n v="80"/>
    <n v="1760"/>
    <n v="0.1"/>
    <n v="176"/>
    <x v="8"/>
  </r>
  <r>
    <x v="279"/>
    <x v="24"/>
    <x v="4"/>
    <x v="4"/>
    <n v="18"/>
    <n v="150"/>
    <n v="2700"/>
    <n v="0.12"/>
    <n v="324"/>
    <x v="9"/>
  </r>
  <r>
    <x v="280"/>
    <x v="25"/>
    <x v="4"/>
    <x v="0"/>
    <n v="4"/>
    <n v="150"/>
    <n v="600"/>
    <n v="0.06"/>
    <n v="36"/>
    <x v="0"/>
  </r>
  <r>
    <x v="281"/>
    <x v="25"/>
    <x v="2"/>
    <x v="1"/>
    <n v="22"/>
    <n v="230"/>
    <n v="5060"/>
    <n v="0.04"/>
    <n v="202.4"/>
    <x v="1"/>
  </r>
  <r>
    <x v="282"/>
    <x v="25"/>
    <x v="4"/>
    <x v="1"/>
    <n v="15"/>
    <n v="150"/>
    <n v="2250"/>
    <n v="0.12"/>
    <n v="270"/>
    <x v="2"/>
  </r>
  <r>
    <x v="283"/>
    <x v="25"/>
    <x v="0"/>
    <x v="0"/>
    <n v="17"/>
    <n v="80"/>
    <n v="1360"/>
    <n v="7.0000000000000007E-2"/>
    <n v="95.2"/>
    <x v="3"/>
  </r>
  <r>
    <x v="284"/>
    <x v="25"/>
    <x v="1"/>
    <x v="4"/>
    <n v="10"/>
    <n v="40"/>
    <n v="400"/>
    <n v="0.03"/>
    <n v="12"/>
    <x v="4"/>
  </r>
  <r>
    <x v="285"/>
    <x v="25"/>
    <x v="1"/>
    <x v="0"/>
    <n v="23"/>
    <n v="40"/>
    <n v="920"/>
    <n v="7.0000000000000007E-2"/>
    <n v="64.400000000000006"/>
    <x v="5"/>
  </r>
  <r>
    <x v="286"/>
    <x v="25"/>
    <x v="3"/>
    <x v="1"/>
    <n v="22"/>
    <n v="16"/>
    <n v="352"/>
    <n v="0.04"/>
    <n v="14.08"/>
    <x v="6"/>
  </r>
  <r>
    <x v="287"/>
    <x v="25"/>
    <x v="0"/>
    <x v="2"/>
    <n v="8"/>
    <n v="80"/>
    <n v="640"/>
    <n v="0.02"/>
    <n v="12.8"/>
    <x v="7"/>
  </r>
  <r>
    <x v="288"/>
    <x v="25"/>
    <x v="3"/>
    <x v="1"/>
    <n v="4"/>
    <n v="16"/>
    <n v="64"/>
    <n v="0.09"/>
    <n v="5.76"/>
    <x v="8"/>
  </r>
  <r>
    <x v="289"/>
    <x v="25"/>
    <x v="1"/>
    <x v="3"/>
    <n v="11"/>
    <n v="40"/>
    <n v="440"/>
    <n v="0.09"/>
    <n v="39.6"/>
    <x v="9"/>
  </r>
  <r>
    <x v="290"/>
    <x v="25"/>
    <x v="2"/>
    <x v="2"/>
    <n v="18"/>
    <n v="230"/>
    <n v="4140"/>
    <n v="0.01"/>
    <n v="41.4"/>
    <x v="10"/>
  </r>
  <r>
    <x v="291"/>
    <x v="26"/>
    <x v="2"/>
    <x v="1"/>
    <n v="11"/>
    <n v="230"/>
    <n v="2530"/>
    <n v="0.1"/>
    <n v="253"/>
    <x v="11"/>
  </r>
  <r>
    <x v="292"/>
    <x v="26"/>
    <x v="2"/>
    <x v="0"/>
    <n v="15"/>
    <n v="230"/>
    <n v="3450"/>
    <n v="0.05"/>
    <n v="172.5"/>
    <x v="0"/>
  </r>
  <r>
    <x v="293"/>
    <x v="26"/>
    <x v="1"/>
    <x v="4"/>
    <n v="7"/>
    <n v="40"/>
    <n v="280"/>
    <n v="0.04"/>
    <n v="11.2"/>
    <x v="1"/>
  </r>
  <r>
    <x v="294"/>
    <x v="26"/>
    <x v="4"/>
    <x v="2"/>
    <n v="20"/>
    <n v="150"/>
    <n v="3000"/>
    <n v="0.12"/>
    <n v="360"/>
    <x v="2"/>
  </r>
  <r>
    <x v="295"/>
    <x v="26"/>
    <x v="0"/>
    <x v="2"/>
    <n v="5"/>
    <n v="80"/>
    <n v="400"/>
    <n v="0.09"/>
    <n v="36"/>
    <x v="3"/>
  </r>
  <r>
    <x v="296"/>
    <x v="26"/>
    <x v="0"/>
    <x v="3"/>
    <n v="14"/>
    <n v="80"/>
    <n v="1120"/>
    <n v="0.05"/>
    <n v="56"/>
    <x v="4"/>
  </r>
  <r>
    <x v="297"/>
    <x v="26"/>
    <x v="2"/>
    <x v="3"/>
    <n v="7"/>
    <n v="230"/>
    <n v="1610"/>
    <n v="0.06"/>
    <n v="96.6"/>
    <x v="5"/>
  </r>
  <r>
    <x v="298"/>
    <x v="26"/>
    <x v="1"/>
    <x v="3"/>
    <n v="13"/>
    <n v="40"/>
    <n v="520"/>
    <n v="0.06"/>
    <n v="31.2"/>
    <x v="6"/>
  </r>
  <r>
    <x v="299"/>
    <x v="27"/>
    <x v="3"/>
    <x v="1"/>
    <n v="15"/>
    <n v="16"/>
    <n v="240"/>
    <n v="0.02"/>
    <n v="4.8"/>
    <x v="7"/>
  </r>
  <r>
    <x v="300"/>
    <x v="27"/>
    <x v="3"/>
    <x v="3"/>
    <n v="5"/>
    <n v="16"/>
    <n v="80"/>
    <n v="0.09"/>
    <n v="7.2"/>
    <x v="8"/>
  </r>
  <r>
    <x v="301"/>
    <x v="27"/>
    <x v="3"/>
    <x v="0"/>
    <n v="22"/>
    <n v="16"/>
    <n v="352"/>
    <n v="0.06"/>
    <n v="21.12"/>
    <x v="9"/>
  </r>
  <r>
    <x v="302"/>
    <x v="27"/>
    <x v="4"/>
    <x v="2"/>
    <n v="15"/>
    <n v="150"/>
    <n v="2250"/>
    <n v="0.05"/>
    <n v="112.5"/>
    <x v="10"/>
  </r>
  <r>
    <x v="303"/>
    <x v="27"/>
    <x v="2"/>
    <x v="2"/>
    <n v="5"/>
    <n v="230"/>
    <n v="1150"/>
    <n v="0.01"/>
    <n v="11.5"/>
    <x v="11"/>
  </r>
  <r>
    <x v="304"/>
    <x v="27"/>
    <x v="1"/>
    <x v="0"/>
    <n v="11"/>
    <n v="40"/>
    <n v="440"/>
    <n v="0.04"/>
    <n v="17.600000000000001"/>
    <x v="0"/>
  </r>
  <r>
    <x v="305"/>
    <x v="27"/>
    <x v="4"/>
    <x v="1"/>
    <n v="13"/>
    <n v="150"/>
    <n v="1950"/>
    <n v="0.08"/>
    <n v="156"/>
    <x v="1"/>
  </r>
  <r>
    <x v="306"/>
    <x v="27"/>
    <x v="3"/>
    <x v="4"/>
    <n v="13"/>
    <n v="16"/>
    <n v="208"/>
    <n v="7.0000000000000007E-2"/>
    <n v="14.56"/>
    <x v="2"/>
  </r>
  <r>
    <x v="307"/>
    <x v="27"/>
    <x v="3"/>
    <x v="4"/>
    <n v="3"/>
    <n v="16"/>
    <n v="48"/>
    <n v="0.03"/>
    <n v="1.44"/>
    <x v="3"/>
  </r>
  <r>
    <x v="308"/>
    <x v="28"/>
    <x v="4"/>
    <x v="1"/>
    <n v="2"/>
    <n v="150"/>
    <n v="300"/>
    <n v="0.09"/>
    <n v="27"/>
    <x v="4"/>
  </r>
  <r>
    <x v="309"/>
    <x v="28"/>
    <x v="2"/>
    <x v="2"/>
    <n v="14"/>
    <n v="230"/>
    <n v="3220"/>
    <n v="0.03"/>
    <n v="96.6"/>
    <x v="5"/>
  </r>
  <r>
    <x v="310"/>
    <x v="28"/>
    <x v="1"/>
    <x v="2"/>
    <n v="11"/>
    <n v="40"/>
    <n v="440"/>
    <n v="0.12"/>
    <n v="52.8"/>
    <x v="6"/>
  </r>
  <r>
    <x v="311"/>
    <x v="28"/>
    <x v="3"/>
    <x v="4"/>
    <n v="3"/>
    <n v="16"/>
    <n v="48"/>
    <n v="0.06"/>
    <n v="2.88"/>
    <x v="7"/>
  </r>
  <r>
    <x v="312"/>
    <x v="28"/>
    <x v="1"/>
    <x v="4"/>
    <n v="18"/>
    <n v="40"/>
    <n v="720"/>
    <n v="0.06"/>
    <n v="43.2"/>
    <x v="8"/>
  </r>
  <r>
    <x v="313"/>
    <x v="28"/>
    <x v="2"/>
    <x v="4"/>
    <n v="7"/>
    <n v="230"/>
    <n v="1610"/>
    <n v="0.05"/>
    <n v="80.5"/>
    <x v="9"/>
  </r>
  <r>
    <x v="314"/>
    <x v="28"/>
    <x v="1"/>
    <x v="4"/>
    <n v="23"/>
    <n v="40"/>
    <n v="920"/>
    <n v="0.05"/>
    <n v="46"/>
    <x v="10"/>
  </r>
  <r>
    <x v="315"/>
    <x v="29"/>
    <x v="2"/>
    <x v="4"/>
    <n v="2"/>
    <n v="230"/>
    <n v="460"/>
    <n v="0.08"/>
    <n v="36.799999999999997"/>
    <x v="11"/>
  </r>
  <r>
    <x v="316"/>
    <x v="29"/>
    <x v="1"/>
    <x v="3"/>
    <n v="18"/>
    <n v="40"/>
    <n v="720"/>
    <n v="0.04"/>
    <n v="28.8"/>
    <x v="0"/>
  </r>
  <r>
    <x v="317"/>
    <x v="29"/>
    <x v="2"/>
    <x v="1"/>
    <n v="7"/>
    <n v="230"/>
    <n v="1610"/>
    <n v="0.05"/>
    <n v="80.5"/>
    <x v="1"/>
  </r>
  <r>
    <x v="318"/>
    <x v="29"/>
    <x v="1"/>
    <x v="4"/>
    <n v="14"/>
    <n v="40"/>
    <n v="560"/>
    <n v="0.11"/>
    <n v="61.6"/>
    <x v="2"/>
  </r>
  <r>
    <x v="319"/>
    <x v="29"/>
    <x v="4"/>
    <x v="1"/>
    <n v="13"/>
    <n v="150"/>
    <n v="1950"/>
    <n v="0.02"/>
    <n v="39"/>
    <x v="3"/>
  </r>
  <r>
    <x v="320"/>
    <x v="29"/>
    <x v="0"/>
    <x v="0"/>
    <n v="12"/>
    <n v="80"/>
    <n v="960"/>
    <n v="0.04"/>
    <n v="38.4"/>
    <x v="4"/>
  </r>
  <r>
    <x v="321"/>
    <x v="29"/>
    <x v="2"/>
    <x v="4"/>
    <n v="20"/>
    <n v="230"/>
    <n v="4600"/>
    <n v="0.09"/>
    <n v="414"/>
    <x v="5"/>
  </r>
  <r>
    <x v="322"/>
    <x v="29"/>
    <x v="1"/>
    <x v="4"/>
    <n v="5"/>
    <n v="40"/>
    <n v="200"/>
    <n v="0.03"/>
    <n v="6"/>
    <x v="6"/>
  </r>
  <r>
    <x v="323"/>
    <x v="29"/>
    <x v="3"/>
    <x v="4"/>
    <n v="2"/>
    <n v="16"/>
    <n v="32"/>
    <n v="0.04"/>
    <n v="1.28"/>
    <x v="7"/>
  </r>
  <r>
    <x v="324"/>
    <x v="0"/>
    <x v="0"/>
    <x v="2"/>
    <n v="10"/>
    <n v="80"/>
    <n v="800"/>
    <n v="0.08"/>
    <n v="64"/>
    <x v="8"/>
  </r>
  <r>
    <x v="325"/>
    <x v="0"/>
    <x v="1"/>
    <x v="3"/>
    <n v="18"/>
    <n v="40"/>
    <n v="720"/>
    <n v="0.06"/>
    <n v="43.2"/>
    <x v="9"/>
  </r>
  <r>
    <x v="326"/>
    <x v="0"/>
    <x v="2"/>
    <x v="1"/>
    <n v="7"/>
    <n v="230"/>
    <n v="1610"/>
    <n v="0.08"/>
    <n v="128.80000000000001"/>
    <x v="10"/>
  </r>
  <r>
    <x v="327"/>
    <x v="0"/>
    <x v="1"/>
    <x v="3"/>
    <n v="15"/>
    <n v="40"/>
    <n v="600"/>
    <n v="0.03"/>
    <n v="18"/>
    <x v="11"/>
  </r>
  <r>
    <x v="328"/>
    <x v="0"/>
    <x v="3"/>
    <x v="2"/>
    <n v="6"/>
    <n v="16"/>
    <n v="96"/>
    <n v="0.01"/>
    <n v="0.96"/>
    <x v="0"/>
  </r>
  <r>
    <x v="329"/>
    <x v="0"/>
    <x v="4"/>
    <x v="3"/>
    <n v="9"/>
    <n v="150"/>
    <n v="1350"/>
    <n v="0.02"/>
    <n v="27"/>
    <x v="1"/>
  </r>
  <r>
    <x v="330"/>
    <x v="0"/>
    <x v="3"/>
    <x v="4"/>
    <n v="15"/>
    <n v="16"/>
    <n v="240"/>
    <n v="0.01"/>
    <n v="2.4"/>
    <x v="2"/>
  </r>
  <r>
    <x v="331"/>
    <x v="0"/>
    <x v="0"/>
    <x v="4"/>
    <n v="22"/>
    <n v="80"/>
    <n v="1760"/>
    <n v="0.11"/>
    <n v="193.6"/>
    <x v="3"/>
  </r>
  <r>
    <x v="332"/>
    <x v="0"/>
    <x v="4"/>
    <x v="1"/>
    <n v="13"/>
    <n v="150"/>
    <n v="1950"/>
    <n v="0.02"/>
    <n v="39"/>
    <x v="4"/>
  </r>
  <r>
    <x v="333"/>
    <x v="1"/>
    <x v="3"/>
    <x v="2"/>
    <n v="12"/>
    <n v="16"/>
    <n v="192"/>
    <n v="0.03"/>
    <n v="5.76"/>
    <x v="5"/>
  </r>
  <r>
    <x v="334"/>
    <x v="1"/>
    <x v="1"/>
    <x v="3"/>
    <n v="4"/>
    <n v="40"/>
    <n v="160"/>
    <n v="0.05"/>
    <n v="8"/>
    <x v="6"/>
  </r>
  <r>
    <x v="335"/>
    <x v="1"/>
    <x v="2"/>
    <x v="1"/>
    <n v="19"/>
    <n v="230"/>
    <n v="4370"/>
    <n v="0.11"/>
    <n v="480.7"/>
    <x v="7"/>
  </r>
  <r>
    <x v="336"/>
    <x v="1"/>
    <x v="1"/>
    <x v="1"/>
    <n v="4"/>
    <n v="40"/>
    <n v="160"/>
    <n v="0.06"/>
    <n v="9.6"/>
    <x v="8"/>
  </r>
  <r>
    <x v="337"/>
    <x v="1"/>
    <x v="3"/>
    <x v="2"/>
    <n v="6"/>
    <n v="16"/>
    <n v="96"/>
    <n v="7.0000000000000007E-2"/>
    <n v="6.72"/>
    <x v="9"/>
  </r>
  <r>
    <x v="338"/>
    <x v="1"/>
    <x v="2"/>
    <x v="2"/>
    <n v="15"/>
    <n v="230"/>
    <n v="3450"/>
    <n v="0.11"/>
    <n v="379.5"/>
    <x v="10"/>
  </r>
  <r>
    <x v="339"/>
    <x v="1"/>
    <x v="0"/>
    <x v="2"/>
    <n v="16"/>
    <n v="80"/>
    <n v="1280"/>
    <n v="0.04"/>
    <n v="51.2"/>
    <x v="11"/>
  </r>
  <r>
    <x v="340"/>
    <x v="1"/>
    <x v="1"/>
    <x v="0"/>
    <n v="7"/>
    <n v="40"/>
    <n v="280"/>
    <n v="0.1"/>
    <n v="28"/>
    <x v="0"/>
  </r>
  <r>
    <x v="341"/>
    <x v="1"/>
    <x v="1"/>
    <x v="2"/>
    <n v="11"/>
    <n v="40"/>
    <n v="440"/>
    <n v="0.05"/>
    <n v="22"/>
    <x v="1"/>
  </r>
  <r>
    <x v="342"/>
    <x v="1"/>
    <x v="0"/>
    <x v="4"/>
    <n v="9"/>
    <n v="80"/>
    <n v="720"/>
    <n v="0.06"/>
    <n v="43.2"/>
    <x v="2"/>
  </r>
  <r>
    <x v="343"/>
    <x v="1"/>
    <x v="0"/>
    <x v="1"/>
    <n v="21"/>
    <n v="80"/>
    <n v="1680"/>
    <n v="0.04"/>
    <n v="67.2"/>
    <x v="3"/>
  </r>
  <r>
    <x v="344"/>
    <x v="1"/>
    <x v="1"/>
    <x v="2"/>
    <n v="2"/>
    <n v="40"/>
    <n v="80"/>
    <n v="0.03"/>
    <n v="2.4"/>
    <x v="4"/>
  </r>
  <r>
    <x v="345"/>
    <x v="2"/>
    <x v="3"/>
    <x v="2"/>
    <n v="17"/>
    <n v="16"/>
    <n v="272"/>
    <n v="0.05"/>
    <n v="13.6"/>
    <x v="5"/>
  </r>
  <r>
    <x v="346"/>
    <x v="2"/>
    <x v="1"/>
    <x v="0"/>
    <n v="18"/>
    <n v="40"/>
    <n v="720"/>
    <n v="0.06"/>
    <n v="43.2"/>
    <x v="6"/>
  </r>
  <r>
    <x v="347"/>
    <x v="2"/>
    <x v="1"/>
    <x v="0"/>
    <n v="9"/>
    <n v="40"/>
    <n v="360"/>
    <n v="0.01"/>
    <n v="3.6"/>
    <x v="7"/>
  </r>
  <r>
    <x v="348"/>
    <x v="2"/>
    <x v="1"/>
    <x v="1"/>
    <n v="7"/>
    <n v="40"/>
    <n v="280"/>
    <n v="0.01"/>
    <n v="2.8"/>
    <x v="8"/>
  </r>
  <r>
    <x v="349"/>
    <x v="2"/>
    <x v="2"/>
    <x v="2"/>
    <n v="12"/>
    <n v="230"/>
    <n v="2760"/>
    <n v="0.06"/>
    <n v="165.6"/>
    <x v="9"/>
  </r>
  <r>
    <x v="350"/>
    <x v="2"/>
    <x v="3"/>
    <x v="1"/>
    <n v="22"/>
    <n v="16"/>
    <n v="352"/>
    <n v="0.04"/>
    <n v="14.08"/>
    <x v="0"/>
  </r>
  <r>
    <x v="351"/>
    <x v="3"/>
    <x v="4"/>
    <x v="0"/>
    <n v="5"/>
    <n v="150"/>
    <n v="750"/>
    <n v="0.11"/>
    <n v="82.5"/>
    <x v="1"/>
  </r>
  <r>
    <x v="352"/>
    <x v="3"/>
    <x v="0"/>
    <x v="1"/>
    <n v="14"/>
    <n v="80"/>
    <n v="1120"/>
    <n v="0.11"/>
    <n v="123.2"/>
    <x v="2"/>
  </r>
  <r>
    <x v="353"/>
    <x v="3"/>
    <x v="3"/>
    <x v="2"/>
    <n v="8"/>
    <n v="16"/>
    <n v="128"/>
    <n v="0.03"/>
    <n v="3.84"/>
    <x v="3"/>
  </r>
  <r>
    <x v="354"/>
    <x v="3"/>
    <x v="2"/>
    <x v="2"/>
    <n v="6"/>
    <n v="230"/>
    <n v="1380"/>
    <n v="0.05"/>
    <n v="69"/>
    <x v="4"/>
  </r>
  <r>
    <x v="355"/>
    <x v="3"/>
    <x v="3"/>
    <x v="3"/>
    <n v="7"/>
    <n v="16"/>
    <n v="112"/>
    <n v="0.08"/>
    <n v="8.9600000000000009"/>
    <x v="5"/>
  </r>
  <r>
    <x v="356"/>
    <x v="3"/>
    <x v="0"/>
    <x v="1"/>
    <n v="16"/>
    <n v="80"/>
    <n v="1280"/>
    <n v="0.04"/>
    <n v="51.2"/>
    <x v="6"/>
  </r>
  <r>
    <x v="357"/>
    <x v="3"/>
    <x v="4"/>
    <x v="0"/>
    <n v="17"/>
    <n v="150"/>
    <n v="2550"/>
    <n v="0.12"/>
    <n v="306"/>
    <x v="7"/>
  </r>
  <r>
    <x v="358"/>
    <x v="3"/>
    <x v="3"/>
    <x v="1"/>
    <n v="7"/>
    <n v="16"/>
    <n v="112"/>
    <n v="0.08"/>
    <n v="8.9600000000000009"/>
    <x v="8"/>
  </r>
  <r>
    <x v="359"/>
    <x v="4"/>
    <x v="3"/>
    <x v="0"/>
    <n v="21"/>
    <n v="16"/>
    <n v="336"/>
    <n v="0.09"/>
    <n v="30.24"/>
    <x v="9"/>
  </r>
  <r>
    <x v="360"/>
    <x v="4"/>
    <x v="3"/>
    <x v="2"/>
    <n v="23"/>
    <n v="16"/>
    <n v="368"/>
    <n v="0.11"/>
    <n v="40.479999999999997"/>
    <x v="10"/>
  </r>
  <r>
    <x v="361"/>
    <x v="4"/>
    <x v="4"/>
    <x v="2"/>
    <n v="2"/>
    <n v="150"/>
    <n v="300"/>
    <n v="0.02"/>
    <n v="6"/>
    <x v="11"/>
  </r>
  <r>
    <x v="362"/>
    <x v="4"/>
    <x v="4"/>
    <x v="0"/>
    <n v="22"/>
    <n v="150"/>
    <n v="3300"/>
    <n v="7.0000000000000007E-2"/>
    <n v="231"/>
    <x v="0"/>
  </r>
  <r>
    <x v="363"/>
    <x v="4"/>
    <x v="1"/>
    <x v="3"/>
    <n v="22"/>
    <n v="40"/>
    <n v="880"/>
    <n v="0.01"/>
    <n v="8.8000000000000007"/>
    <x v="1"/>
  </r>
  <r>
    <x v="364"/>
    <x v="4"/>
    <x v="0"/>
    <x v="1"/>
    <n v="10"/>
    <n v="80"/>
    <n v="800"/>
    <n v="0.11"/>
    <n v="88"/>
    <x v="2"/>
  </r>
  <r>
    <x v="365"/>
    <x v="4"/>
    <x v="0"/>
    <x v="4"/>
    <n v="13"/>
    <n v="80"/>
    <n v="1040"/>
    <n v="0.05"/>
    <n v="52"/>
    <x v="3"/>
  </r>
  <r>
    <x v="366"/>
    <x v="4"/>
    <x v="2"/>
    <x v="3"/>
    <n v="11"/>
    <n v="230"/>
    <n v="2530"/>
    <n v="0.12"/>
    <n v="303.60000000000002"/>
    <x v="4"/>
  </r>
  <r>
    <x v="367"/>
    <x v="4"/>
    <x v="2"/>
    <x v="0"/>
    <n v="9"/>
    <n v="230"/>
    <n v="2070"/>
    <n v="7.0000000000000007E-2"/>
    <n v="144.9"/>
    <x v="5"/>
  </r>
  <r>
    <x v="368"/>
    <x v="4"/>
    <x v="2"/>
    <x v="3"/>
    <n v="16"/>
    <n v="230"/>
    <n v="3680"/>
    <n v="0.11"/>
    <n v="404.8"/>
    <x v="6"/>
  </r>
  <r>
    <x v="369"/>
    <x v="4"/>
    <x v="2"/>
    <x v="3"/>
    <n v="18"/>
    <n v="230"/>
    <n v="4140"/>
    <n v="0.01"/>
    <n v="41.4"/>
    <x v="7"/>
  </r>
  <r>
    <x v="370"/>
    <x v="4"/>
    <x v="3"/>
    <x v="1"/>
    <n v="15"/>
    <n v="16"/>
    <n v="240"/>
    <n v="0.02"/>
    <n v="4.8"/>
    <x v="8"/>
  </r>
  <r>
    <x v="371"/>
    <x v="4"/>
    <x v="1"/>
    <x v="4"/>
    <n v="18"/>
    <n v="40"/>
    <n v="720"/>
    <n v="0.06"/>
    <n v="43.2"/>
    <x v="9"/>
  </r>
  <r>
    <x v="372"/>
    <x v="4"/>
    <x v="1"/>
    <x v="3"/>
    <n v="18"/>
    <n v="40"/>
    <n v="720"/>
    <n v="0.04"/>
    <n v="28.8"/>
    <x v="10"/>
  </r>
  <r>
    <x v="373"/>
    <x v="4"/>
    <x v="3"/>
    <x v="3"/>
    <n v="22"/>
    <n v="16"/>
    <n v="352"/>
    <n v="0.03"/>
    <n v="10.56"/>
    <x v="11"/>
  </r>
  <r>
    <x v="374"/>
    <x v="4"/>
    <x v="3"/>
    <x v="2"/>
    <n v="12"/>
    <n v="16"/>
    <n v="192"/>
    <n v="0.11"/>
    <n v="21.12"/>
    <x v="0"/>
  </r>
  <r>
    <x v="375"/>
    <x v="5"/>
    <x v="0"/>
    <x v="0"/>
    <n v="20"/>
    <n v="80"/>
    <n v="1600"/>
    <n v="0.01"/>
    <n v="16"/>
    <x v="1"/>
  </r>
  <r>
    <x v="376"/>
    <x v="5"/>
    <x v="2"/>
    <x v="2"/>
    <n v="10"/>
    <n v="230"/>
    <n v="2300"/>
    <n v="0.02"/>
    <n v="46"/>
    <x v="2"/>
  </r>
  <r>
    <x v="377"/>
    <x v="5"/>
    <x v="2"/>
    <x v="1"/>
    <n v="9"/>
    <n v="230"/>
    <n v="2070"/>
    <n v="0.03"/>
    <n v="62.1"/>
    <x v="3"/>
  </r>
  <r>
    <x v="378"/>
    <x v="5"/>
    <x v="0"/>
    <x v="1"/>
    <n v="17"/>
    <n v="80"/>
    <n v="1360"/>
    <n v="0.03"/>
    <n v="40.799999999999997"/>
    <x v="4"/>
  </r>
  <r>
    <x v="379"/>
    <x v="5"/>
    <x v="1"/>
    <x v="4"/>
    <n v="4"/>
    <n v="40"/>
    <n v="160"/>
    <n v="0.09"/>
    <n v="14.4"/>
    <x v="5"/>
  </r>
  <r>
    <x v="380"/>
    <x v="5"/>
    <x v="4"/>
    <x v="1"/>
    <n v="16"/>
    <n v="150"/>
    <n v="2400"/>
    <n v="0.03"/>
    <n v="72"/>
    <x v="6"/>
  </r>
  <r>
    <x v="381"/>
    <x v="5"/>
    <x v="0"/>
    <x v="2"/>
    <n v="8"/>
    <n v="80"/>
    <n v="640"/>
    <n v="0.02"/>
    <n v="12.8"/>
    <x v="7"/>
  </r>
  <r>
    <x v="382"/>
    <x v="5"/>
    <x v="1"/>
    <x v="3"/>
    <n v="23"/>
    <n v="40"/>
    <n v="920"/>
    <n v="0.06"/>
    <n v="55.2"/>
    <x v="8"/>
  </r>
  <r>
    <x v="383"/>
    <x v="6"/>
    <x v="4"/>
    <x v="3"/>
    <n v="20"/>
    <n v="150"/>
    <n v="3000"/>
    <n v="0.1"/>
    <n v="300"/>
    <x v="9"/>
  </r>
  <r>
    <x v="384"/>
    <x v="6"/>
    <x v="2"/>
    <x v="4"/>
    <n v="22"/>
    <n v="230"/>
    <n v="5060"/>
    <n v="0.1"/>
    <n v="506"/>
    <x v="10"/>
  </r>
  <r>
    <x v="385"/>
    <x v="6"/>
    <x v="2"/>
    <x v="1"/>
    <n v="6"/>
    <n v="230"/>
    <n v="1380"/>
    <n v="0.1"/>
    <n v="138"/>
    <x v="11"/>
  </r>
  <r>
    <x v="386"/>
    <x v="6"/>
    <x v="0"/>
    <x v="3"/>
    <n v="10"/>
    <n v="80"/>
    <n v="800"/>
    <n v="0.1"/>
    <n v="80"/>
    <x v="0"/>
  </r>
  <r>
    <x v="387"/>
    <x v="6"/>
    <x v="2"/>
    <x v="4"/>
    <n v="21"/>
    <n v="230"/>
    <n v="4830"/>
    <n v="0.05"/>
    <n v="241.5"/>
    <x v="1"/>
  </r>
  <r>
    <x v="388"/>
    <x v="6"/>
    <x v="2"/>
    <x v="0"/>
    <n v="20"/>
    <n v="230"/>
    <n v="4600"/>
    <n v="0.04"/>
    <n v="184"/>
    <x v="2"/>
  </r>
  <r>
    <x v="389"/>
    <x v="6"/>
    <x v="0"/>
    <x v="2"/>
    <n v="20"/>
    <n v="80"/>
    <n v="1600"/>
    <n v="7.0000000000000007E-2"/>
    <n v="112"/>
    <x v="3"/>
  </r>
  <r>
    <x v="390"/>
    <x v="6"/>
    <x v="0"/>
    <x v="2"/>
    <n v="7"/>
    <n v="80"/>
    <n v="560"/>
    <n v="0.05"/>
    <n v="28"/>
    <x v="4"/>
  </r>
  <r>
    <x v="391"/>
    <x v="6"/>
    <x v="0"/>
    <x v="0"/>
    <n v="8"/>
    <n v="80"/>
    <n v="640"/>
    <n v="0.09"/>
    <n v="57.6"/>
    <x v="5"/>
  </r>
  <r>
    <x v="392"/>
    <x v="6"/>
    <x v="0"/>
    <x v="1"/>
    <n v="3"/>
    <n v="80"/>
    <n v="240"/>
    <n v="0.02"/>
    <n v="4.8"/>
    <x v="6"/>
  </r>
  <r>
    <x v="393"/>
    <x v="6"/>
    <x v="0"/>
    <x v="3"/>
    <n v="8"/>
    <n v="80"/>
    <n v="640"/>
    <n v="0.06"/>
    <n v="38.4"/>
    <x v="7"/>
  </r>
  <r>
    <x v="394"/>
    <x v="6"/>
    <x v="4"/>
    <x v="4"/>
    <n v="13"/>
    <n v="150"/>
    <n v="1950"/>
    <n v="0.11"/>
    <n v="214.5"/>
    <x v="8"/>
  </r>
  <r>
    <x v="395"/>
    <x v="6"/>
    <x v="0"/>
    <x v="3"/>
    <n v="15"/>
    <n v="80"/>
    <n v="1200"/>
    <n v="0.08"/>
    <n v="96"/>
    <x v="9"/>
  </r>
  <r>
    <x v="396"/>
    <x v="6"/>
    <x v="4"/>
    <x v="4"/>
    <n v="7"/>
    <n v="150"/>
    <n v="1050"/>
    <n v="0.02"/>
    <n v="21"/>
    <x v="10"/>
  </r>
  <r>
    <x v="397"/>
    <x v="6"/>
    <x v="1"/>
    <x v="2"/>
    <n v="6"/>
    <n v="40"/>
    <n v="240"/>
    <n v="0.06"/>
    <n v="14.4"/>
    <x v="11"/>
  </r>
  <r>
    <x v="398"/>
    <x v="6"/>
    <x v="0"/>
    <x v="3"/>
    <n v="23"/>
    <n v="80"/>
    <n v="1840"/>
    <n v="0.11"/>
    <n v="202.4"/>
    <x v="0"/>
  </r>
  <r>
    <x v="399"/>
    <x v="6"/>
    <x v="2"/>
    <x v="2"/>
    <n v="18"/>
    <n v="230"/>
    <n v="4140"/>
    <n v="0.01"/>
    <n v="41.4"/>
    <x v="1"/>
  </r>
  <r>
    <x v="400"/>
    <x v="7"/>
    <x v="0"/>
    <x v="4"/>
    <n v="21"/>
    <n v="80"/>
    <n v="1680"/>
    <n v="0.09"/>
    <n v="151.19999999999999"/>
    <x v="2"/>
  </r>
  <r>
    <x v="401"/>
    <x v="7"/>
    <x v="1"/>
    <x v="2"/>
    <n v="13"/>
    <n v="40"/>
    <n v="520"/>
    <n v="0.02"/>
    <n v="10.4"/>
    <x v="3"/>
  </r>
  <r>
    <x v="402"/>
    <x v="7"/>
    <x v="0"/>
    <x v="2"/>
    <n v="23"/>
    <n v="80"/>
    <n v="1840"/>
    <n v="0.05"/>
    <n v="92"/>
    <x v="4"/>
  </r>
  <r>
    <x v="403"/>
    <x v="7"/>
    <x v="4"/>
    <x v="3"/>
    <n v="15"/>
    <n v="150"/>
    <n v="2250"/>
    <n v="0.05"/>
    <n v="112.5"/>
    <x v="5"/>
  </r>
  <r>
    <x v="404"/>
    <x v="7"/>
    <x v="1"/>
    <x v="0"/>
    <n v="5"/>
    <n v="40"/>
    <n v="200"/>
    <n v="0.09"/>
    <n v="18"/>
    <x v="6"/>
  </r>
  <r>
    <x v="405"/>
    <x v="7"/>
    <x v="3"/>
    <x v="3"/>
    <n v="10"/>
    <n v="16"/>
    <n v="160"/>
    <n v="0.01"/>
    <n v="1.6"/>
    <x v="7"/>
  </r>
  <r>
    <x v="406"/>
    <x v="7"/>
    <x v="2"/>
    <x v="2"/>
    <n v="2"/>
    <n v="230"/>
    <n v="460"/>
    <n v="0.09"/>
    <n v="41.4"/>
    <x v="8"/>
  </r>
  <r>
    <x v="407"/>
    <x v="7"/>
    <x v="0"/>
    <x v="3"/>
    <n v="7"/>
    <n v="80"/>
    <n v="560"/>
    <n v="0.02"/>
    <n v="11.2"/>
    <x v="9"/>
  </r>
  <r>
    <x v="408"/>
    <x v="7"/>
    <x v="4"/>
    <x v="3"/>
    <n v="22"/>
    <n v="150"/>
    <n v="3300"/>
    <n v="0.05"/>
    <n v="165"/>
    <x v="10"/>
  </r>
  <r>
    <x v="409"/>
    <x v="7"/>
    <x v="1"/>
    <x v="4"/>
    <n v="17"/>
    <n v="40"/>
    <n v="680"/>
    <n v="0.02"/>
    <n v="13.6"/>
    <x v="11"/>
  </r>
  <r>
    <x v="410"/>
    <x v="7"/>
    <x v="3"/>
    <x v="0"/>
    <n v="22"/>
    <n v="16"/>
    <n v="352"/>
    <n v="0.06"/>
    <n v="21.12"/>
    <x v="0"/>
  </r>
  <r>
    <x v="411"/>
    <x v="7"/>
    <x v="3"/>
    <x v="4"/>
    <n v="3"/>
    <n v="16"/>
    <n v="48"/>
    <n v="0.03"/>
    <n v="1.44"/>
    <x v="1"/>
  </r>
  <r>
    <x v="412"/>
    <x v="7"/>
    <x v="2"/>
    <x v="4"/>
    <n v="2"/>
    <n v="230"/>
    <n v="460"/>
    <n v="0.08"/>
    <n v="36.799999999999997"/>
    <x v="2"/>
  </r>
  <r>
    <x v="413"/>
    <x v="7"/>
    <x v="3"/>
    <x v="0"/>
    <n v="21"/>
    <n v="16"/>
    <n v="336"/>
    <n v="0.09"/>
    <n v="30.24"/>
    <x v="3"/>
  </r>
  <r>
    <x v="414"/>
    <x v="7"/>
    <x v="0"/>
    <x v="3"/>
    <n v="7"/>
    <n v="80"/>
    <n v="560"/>
    <n v="7.0000000000000007E-2"/>
    <n v="39.200000000000003"/>
    <x v="4"/>
  </r>
  <r>
    <x v="415"/>
    <x v="7"/>
    <x v="4"/>
    <x v="1"/>
    <n v="23"/>
    <n v="150"/>
    <n v="3450"/>
    <n v="0.11"/>
    <n v="379.5"/>
    <x v="5"/>
  </r>
  <r>
    <x v="416"/>
    <x v="8"/>
    <x v="4"/>
    <x v="0"/>
    <n v="11"/>
    <n v="150"/>
    <n v="1650"/>
    <n v="0.05"/>
    <n v="82.5"/>
    <x v="6"/>
  </r>
  <r>
    <x v="417"/>
    <x v="8"/>
    <x v="0"/>
    <x v="4"/>
    <n v="16"/>
    <n v="80"/>
    <n v="1280"/>
    <n v="0.05"/>
    <n v="64"/>
    <x v="7"/>
  </r>
  <r>
    <x v="418"/>
    <x v="8"/>
    <x v="2"/>
    <x v="2"/>
    <n v="5"/>
    <n v="230"/>
    <n v="1150"/>
    <n v="0.1"/>
    <n v="115"/>
    <x v="8"/>
  </r>
  <r>
    <x v="419"/>
    <x v="8"/>
    <x v="3"/>
    <x v="0"/>
    <n v="22"/>
    <n v="16"/>
    <n v="352"/>
    <n v="0.01"/>
    <n v="3.52"/>
    <x v="9"/>
  </r>
  <r>
    <x v="420"/>
    <x v="8"/>
    <x v="1"/>
    <x v="4"/>
    <n v="7"/>
    <n v="40"/>
    <n v="280"/>
    <n v="0.12"/>
    <n v="33.6"/>
    <x v="0"/>
  </r>
  <r>
    <x v="421"/>
    <x v="8"/>
    <x v="0"/>
    <x v="1"/>
    <n v="2"/>
    <n v="80"/>
    <n v="160"/>
    <n v="0.04"/>
    <n v="6.4"/>
    <x v="1"/>
  </r>
  <r>
    <x v="422"/>
    <x v="8"/>
    <x v="1"/>
    <x v="3"/>
    <n v="6"/>
    <n v="40"/>
    <n v="240"/>
    <n v="7.0000000000000007E-2"/>
    <n v="16.8"/>
    <x v="2"/>
  </r>
  <r>
    <x v="423"/>
    <x v="8"/>
    <x v="0"/>
    <x v="2"/>
    <n v="6"/>
    <n v="80"/>
    <n v="480"/>
    <n v="0.01"/>
    <n v="4.8"/>
    <x v="3"/>
  </r>
  <r>
    <x v="424"/>
    <x v="8"/>
    <x v="3"/>
    <x v="1"/>
    <n v="22"/>
    <n v="16"/>
    <n v="352"/>
    <n v="0.01"/>
    <n v="3.52"/>
    <x v="4"/>
  </r>
  <r>
    <x v="425"/>
    <x v="8"/>
    <x v="2"/>
    <x v="3"/>
    <n v="7"/>
    <n v="230"/>
    <n v="1610"/>
    <n v="0.06"/>
    <n v="96.6"/>
    <x v="5"/>
  </r>
  <r>
    <x v="426"/>
    <x v="9"/>
    <x v="3"/>
    <x v="3"/>
    <n v="22"/>
    <n v="16"/>
    <n v="352"/>
    <n v="0.03"/>
    <n v="10.56"/>
    <x v="6"/>
  </r>
  <r>
    <x v="427"/>
    <x v="9"/>
    <x v="1"/>
    <x v="4"/>
    <n v="20"/>
    <n v="40"/>
    <n v="800"/>
    <n v="0.05"/>
    <n v="40"/>
    <x v="7"/>
  </r>
  <r>
    <x v="428"/>
    <x v="9"/>
    <x v="1"/>
    <x v="1"/>
    <n v="19"/>
    <n v="40"/>
    <n v="760"/>
    <n v="0.1"/>
    <n v="76"/>
    <x v="8"/>
  </r>
  <r>
    <x v="429"/>
    <x v="9"/>
    <x v="3"/>
    <x v="0"/>
    <n v="18"/>
    <n v="16"/>
    <n v="288"/>
    <n v="0.05"/>
    <n v="14.4"/>
    <x v="9"/>
  </r>
  <r>
    <x v="430"/>
    <x v="9"/>
    <x v="1"/>
    <x v="2"/>
    <n v="2"/>
    <n v="40"/>
    <n v="80"/>
    <n v="0.02"/>
    <n v="1.6"/>
    <x v="10"/>
  </r>
  <r>
    <x v="431"/>
    <x v="9"/>
    <x v="1"/>
    <x v="3"/>
    <n v="7"/>
    <n v="40"/>
    <n v="280"/>
    <n v="7.0000000000000007E-2"/>
    <n v="19.600000000000001"/>
    <x v="11"/>
  </r>
  <r>
    <x v="432"/>
    <x v="9"/>
    <x v="4"/>
    <x v="2"/>
    <n v="11"/>
    <n v="150"/>
    <n v="1650"/>
    <n v="0.05"/>
    <n v="82.5"/>
    <x v="0"/>
  </r>
  <r>
    <x v="433"/>
    <x v="9"/>
    <x v="0"/>
    <x v="1"/>
    <n v="14"/>
    <n v="80"/>
    <n v="1120"/>
    <n v="0.11"/>
    <n v="123.2"/>
    <x v="1"/>
  </r>
  <r>
    <x v="434"/>
    <x v="9"/>
    <x v="1"/>
    <x v="4"/>
    <n v="7"/>
    <n v="40"/>
    <n v="280"/>
    <n v="0.04"/>
    <n v="11.2"/>
    <x v="2"/>
  </r>
  <r>
    <x v="435"/>
    <x v="9"/>
    <x v="0"/>
    <x v="3"/>
    <n v="14"/>
    <n v="80"/>
    <n v="1120"/>
    <n v="0.05"/>
    <n v="56"/>
    <x v="3"/>
  </r>
  <r>
    <x v="436"/>
    <x v="10"/>
    <x v="3"/>
    <x v="2"/>
    <n v="12"/>
    <n v="16"/>
    <n v="192"/>
    <n v="0.11"/>
    <n v="21.12"/>
    <x v="4"/>
  </r>
  <r>
    <x v="437"/>
    <x v="10"/>
    <x v="1"/>
    <x v="4"/>
    <n v="11"/>
    <n v="40"/>
    <n v="440"/>
    <n v="0.05"/>
    <n v="22"/>
    <x v="5"/>
  </r>
  <r>
    <x v="438"/>
    <x v="10"/>
    <x v="3"/>
    <x v="2"/>
    <n v="14"/>
    <n v="16"/>
    <n v="224"/>
    <n v="0.01"/>
    <n v="2.2400000000000002"/>
    <x v="6"/>
  </r>
  <r>
    <x v="439"/>
    <x v="10"/>
    <x v="2"/>
    <x v="3"/>
    <n v="2"/>
    <n v="230"/>
    <n v="460"/>
    <n v="0.08"/>
    <n v="36.799999999999997"/>
    <x v="7"/>
  </r>
  <r>
    <x v="440"/>
    <x v="10"/>
    <x v="3"/>
    <x v="0"/>
    <n v="20"/>
    <n v="16"/>
    <n v="320"/>
    <n v="0.11"/>
    <n v="35.200000000000003"/>
    <x v="8"/>
  </r>
  <r>
    <x v="441"/>
    <x v="10"/>
    <x v="3"/>
    <x v="2"/>
    <n v="6"/>
    <n v="16"/>
    <n v="96"/>
    <n v="0.06"/>
    <n v="5.76"/>
    <x v="9"/>
  </r>
  <r>
    <x v="442"/>
    <x v="10"/>
    <x v="0"/>
    <x v="3"/>
    <n v="17"/>
    <n v="80"/>
    <n v="1360"/>
    <n v="0.05"/>
    <n v="68"/>
    <x v="10"/>
  </r>
  <r>
    <x v="443"/>
    <x v="10"/>
    <x v="1"/>
    <x v="0"/>
    <n v="2"/>
    <n v="40"/>
    <n v="80"/>
    <n v="0.12"/>
    <n v="9.6"/>
    <x v="11"/>
  </r>
  <r>
    <x v="444"/>
    <x v="10"/>
    <x v="3"/>
    <x v="0"/>
    <n v="7"/>
    <n v="16"/>
    <n v="112"/>
    <n v="0.12"/>
    <n v="13.44"/>
    <x v="0"/>
  </r>
  <r>
    <x v="445"/>
    <x v="10"/>
    <x v="4"/>
    <x v="0"/>
    <n v="7"/>
    <n v="150"/>
    <n v="1050"/>
    <n v="0.02"/>
    <n v="21"/>
    <x v="1"/>
  </r>
  <r>
    <x v="446"/>
    <x v="10"/>
    <x v="0"/>
    <x v="0"/>
    <n v="20"/>
    <n v="80"/>
    <n v="1600"/>
    <n v="0.01"/>
    <n v="16"/>
    <x v="2"/>
  </r>
  <r>
    <x v="447"/>
    <x v="10"/>
    <x v="0"/>
    <x v="3"/>
    <n v="11"/>
    <n v="80"/>
    <n v="880"/>
    <n v="0.01"/>
    <n v="8.8000000000000007"/>
    <x v="3"/>
  </r>
  <r>
    <x v="448"/>
    <x v="10"/>
    <x v="0"/>
    <x v="2"/>
    <n v="10"/>
    <n v="80"/>
    <n v="800"/>
    <n v="0.08"/>
    <n v="64"/>
    <x v="4"/>
  </r>
  <r>
    <x v="449"/>
    <x v="11"/>
    <x v="0"/>
    <x v="1"/>
    <n v="5"/>
    <n v="80"/>
    <n v="400"/>
    <n v="0.04"/>
    <n v="16"/>
    <x v="5"/>
  </r>
  <r>
    <x v="450"/>
    <x v="11"/>
    <x v="0"/>
    <x v="3"/>
    <n v="4"/>
    <n v="80"/>
    <n v="320"/>
    <n v="0.11"/>
    <n v="35.200000000000003"/>
    <x v="6"/>
  </r>
  <r>
    <x v="451"/>
    <x v="11"/>
    <x v="3"/>
    <x v="2"/>
    <n v="3"/>
    <n v="16"/>
    <n v="48"/>
    <n v="0.05"/>
    <n v="2.4"/>
    <x v="7"/>
  </r>
  <r>
    <x v="452"/>
    <x v="11"/>
    <x v="0"/>
    <x v="0"/>
    <n v="9"/>
    <n v="80"/>
    <n v="720"/>
    <n v="0.04"/>
    <n v="28.8"/>
    <x v="8"/>
  </r>
  <r>
    <x v="453"/>
    <x v="11"/>
    <x v="0"/>
    <x v="4"/>
    <n v="16"/>
    <n v="80"/>
    <n v="1280"/>
    <n v="0.09"/>
    <n v="115.2"/>
    <x v="9"/>
  </r>
  <r>
    <x v="454"/>
    <x v="12"/>
    <x v="3"/>
    <x v="1"/>
    <n v="7"/>
    <n v="16"/>
    <n v="112"/>
    <n v="0.08"/>
    <n v="8.9600000000000009"/>
    <x v="10"/>
  </r>
  <r>
    <x v="455"/>
    <x v="12"/>
    <x v="4"/>
    <x v="1"/>
    <n v="16"/>
    <n v="150"/>
    <n v="2400"/>
    <n v="0.05"/>
    <n v="120"/>
    <x v="11"/>
  </r>
  <r>
    <x v="456"/>
    <x v="12"/>
    <x v="3"/>
    <x v="3"/>
    <n v="10"/>
    <n v="16"/>
    <n v="160"/>
    <n v="0.04"/>
    <n v="6.4"/>
    <x v="0"/>
  </r>
  <r>
    <x v="457"/>
    <x v="12"/>
    <x v="1"/>
    <x v="1"/>
    <n v="4"/>
    <n v="40"/>
    <n v="160"/>
    <n v="0.03"/>
    <n v="4.8"/>
    <x v="1"/>
  </r>
  <r>
    <x v="458"/>
    <x v="12"/>
    <x v="1"/>
    <x v="1"/>
    <n v="15"/>
    <n v="40"/>
    <n v="600"/>
    <n v="0.02"/>
    <n v="12"/>
    <x v="2"/>
  </r>
  <r>
    <x v="459"/>
    <x v="12"/>
    <x v="0"/>
    <x v="2"/>
    <n v="6"/>
    <n v="80"/>
    <n v="480"/>
    <n v="0.09"/>
    <n v="43.2"/>
    <x v="3"/>
  </r>
  <r>
    <x v="460"/>
    <x v="12"/>
    <x v="4"/>
    <x v="0"/>
    <n v="20"/>
    <n v="150"/>
    <n v="3000"/>
    <n v="0.01"/>
    <n v="30"/>
    <x v="4"/>
  </r>
  <r>
    <x v="461"/>
    <x v="12"/>
    <x v="3"/>
    <x v="0"/>
    <n v="7"/>
    <n v="16"/>
    <n v="112"/>
    <n v="0.08"/>
    <n v="8.9600000000000009"/>
    <x v="5"/>
  </r>
  <r>
    <x v="462"/>
    <x v="12"/>
    <x v="0"/>
    <x v="1"/>
    <n v="2"/>
    <n v="80"/>
    <n v="160"/>
    <n v="7.0000000000000007E-2"/>
    <n v="11.2"/>
    <x v="6"/>
  </r>
  <r>
    <x v="463"/>
    <x v="12"/>
    <x v="1"/>
    <x v="1"/>
    <n v="23"/>
    <n v="40"/>
    <n v="920"/>
    <n v="0.06"/>
    <n v="55.2"/>
    <x v="7"/>
  </r>
  <r>
    <x v="464"/>
    <x v="12"/>
    <x v="3"/>
    <x v="0"/>
    <n v="12"/>
    <n v="16"/>
    <n v="192"/>
    <n v="0.11"/>
    <n v="21.12"/>
    <x v="8"/>
  </r>
  <r>
    <x v="465"/>
    <x v="12"/>
    <x v="2"/>
    <x v="3"/>
    <n v="2"/>
    <n v="230"/>
    <n v="460"/>
    <n v="0.09"/>
    <n v="41.4"/>
    <x v="9"/>
  </r>
  <r>
    <x v="466"/>
    <x v="12"/>
    <x v="4"/>
    <x v="0"/>
    <n v="4"/>
    <n v="150"/>
    <n v="600"/>
    <n v="0.06"/>
    <n v="36"/>
    <x v="10"/>
  </r>
  <r>
    <x v="467"/>
    <x v="12"/>
    <x v="1"/>
    <x v="0"/>
    <n v="23"/>
    <n v="40"/>
    <n v="920"/>
    <n v="7.0000000000000007E-2"/>
    <n v="64.400000000000006"/>
    <x v="11"/>
  </r>
  <r>
    <x v="468"/>
    <x v="12"/>
    <x v="3"/>
    <x v="4"/>
    <n v="2"/>
    <n v="16"/>
    <n v="32"/>
    <n v="0.04"/>
    <n v="1.28"/>
    <x v="0"/>
  </r>
  <r>
    <x v="469"/>
    <x v="12"/>
    <x v="4"/>
    <x v="3"/>
    <n v="7"/>
    <n v="150"/>
    <n v="1050"/>
    <n v="0.05"/>
    <n v="52.5"/>
    <x v="1"/>
  </r>
  <r>
    <x v="470"/>
    <x v="13"/>
    <x v="1"/>
    <x v="0"/>
    <n v="15"/>
    <n v="40"/>
    <n v="600"/>
    <n v="0.06"/>
    <n v="36"/>
    <x v="2"/>
  </r>
  <r>
    <x v="471"/>
    <x v="13"/>
    <x v="0"/>
    <x v="3"/>
    <n v="16"/>
    <n v="80"/>
    <n v="1280"/>
    <n v="0.05"/>
    <n v="64"/>
    <x v="3"/>
  </r>
  <r>
    <x v="472"/>
    <x v="13"/>
    <x v="1"/>
    <x v="4"/>
    <n v="16"/>
    <n v="40"/>
    <n v="640"/>
    <n v="0.11"/>
    <n v="70.400000000000006"/>
    <x v="4"/>
  </r>
  <r>
    <x v="473"/>
    <x v="13"/>
    <x v="3"/>
    <x v="4"/>
    <n v="23"/>
    <n v="16"/>
    <n v="368"/>
    <n v="0.01"/>
    <n v="3.68"/>
    <x v="5"/>
  </r>
  <r>
    <x v="474"/>
    <x v="13"/>
    <x v="2"/>
    <x v="1"/>
    <n v="12"/>
    <n v="230"/>
    <n v="2760"/>
    <n v="0.03"/>
    <n v="82.8"/>
    <x v="6"/>
  </r>
  <r>
    <x v="475"/>
    <x v="13"/>
    <x v="3"/>
    <x v="0"/>
    <n v="4"/>
    <n v="16"/>
    <n v="64"/>
    <n v="0.12"/>
    <n v="7.68"/>
    <x v="7"/>
  </r>
  <r>
    <x v="476"/>
    <x v="13"/>
    <x v="4"/>
    <x v="3"/>
    <n v="3"/>
    <n v="150"/>
    <n v="450"/>
    <n v="0.01"/>
    <n v="4.5"/>
    <x v="8"/>
  </r>
  <r>
    <x v="477"/>
    <x v="13"/>
    <x v="4"/>
    <x v="1"/>
    <n v="10"/>
    <n v="150"/>
    <n v="1500"/>
    <n v="0.01"/>
    <n v="15"/>
    <x v="9"/>
  </r>
  <r>
    <x v="478"/>
    <x v="13"/>
    <x v="0"/>
    <x v="1"/>
    <n v="13"/>
    <n v="80"/>
    <n v="1040"/>
    <n v="0.06"/>
    <n v="62.4"/>
    <x v="10"/>
  </r>
  <r>
    <x v="479"/>
    <x v="13"/>
    <x v="2"/>
    <x v="2"/>
    <n v="15"/>
    <n v="230"/>
    <n v="3450"/>
    <n v="0.04"/>
    <n v="138"/>
    <x v="11"/>
  </r>
  <r>
    <x v="480"/>
    <x v="13"/>
    <x v="4"/>
    <x v="0"/>
    <n v="23"/>
    <n v="150"/>
    <n v="3450"/>
    <n v="0.1"/>
    <n v="345"/>
    <x v="0"/>
  </r>
  <r>
    <x v="481"/>
    <x v="13"/>
    <x v="4"/>
    <x v="1"/>
    <n v="15"/>
    <n v="150"/>
    <n v="2250"/>
    <n v="0.12"/>
    <n v="270"/>
    <x v="1"/>
  </r>
  <r>
    <x v="482"/>
    <x v="13"/>
    <x v="4"/>
    <x v="2"/>
    <n v="20"/>
    <n v="150"/>
    <n v="3000"/>
    <n v="0.12"/>
    <n v="360"/>
    <x v="2"/>
  </r>
  <r>
    <x v="483"/>
    <x v="13"/>
    <x v="1"/>
    <x v="3"/>
    <n v="13"/>
    <n v="40"/>
    <n v="520"/>
    <n v="0.09"/>
    <n v="46.8"/>
    <x v="3"/>
  </r>
  <r>
    <x v="484"/>
    <x v="14"/>
    <x v="3"/>
    <x v="2"/>
    <n v="11"/>
    <n v="16"/>
    <n v="176"/>
    <n v="0.04"/>
    <n v="7.04"/>
    <x v="4"/>
  </r>
  <r>
    <x v="485"/>
    <x v="14"/>
    <x v="4"/>
    <x v="2"/>
    <n v="20"/>
    <n v="150"/>
    <n v="3000"/>
    <n v="0.04"/>
    <n v="120"/>
    <x v="5"/>
  </r>
  <r>
    <x v="486"/>
    <x v="14"/>
    <x v="1"/>
    <x v="0"/>
    <n v="18"/>
    <n v="40"/>
    <n v="720"/>
    <n v="0.11"/>
    <n v="79.2"/>
    <x v="6"/>
  </r>
  <r>
    <x v="487"/>
    <x v="14"/>
    <x v="1"/>
    <x v="2"/>
    <n v="2"/>
    <n v="40"/>
    <n v="80"/>
    <n v="0.03"/>
    <n v="2.4"/>
    <x v="7"/>
  </r>
  <r>
    <x v="488"/>
    <x v="14"/>
    <x v="3"/>
    <x v="3"/>
    <n v="15"/>
    <n v="16"/>
    <n v="240"/>
    <n v="0.12"/>
    <n v="28.8"/>
    <x v="8"/>
  </r>
  <r>
    <x v="489"/>
    <x v="14"/>
    <x v="3"/>
    <x v="2"/>
    <n v="9"/>
    <n v="16"/>
    <n v="144"/>
    <n v="0.05"/>
    <n v="7.2"/>
    <x v="9"/>
  </r>
  <r>
    <x v="490"/>
    <x v="14"/>
    <x v="1"/>
    <x v="4"/>
    <n v="7"/>
    <n v="40"/>
    <n v="280"/>
    <n v="0.05"/>
    <n v="14"/>
    <x v="0"/>
  </r>
  <r>
    <x v="491"/>
    <x v="14"/>
    <x v="4"/>
    <x v="4"/>
    <n v="4"/>
    <n v="150"/>
    <n v="600"/>
    <n v="0.05"/>
    <n v="30"/>
    <x v="1"/>
  </r>
  <r>
    <x v="492"/>
    <x v="14"/>
    <x v="2"/>
    <x v="0"/>
    <n v="15"/>
    <n v="230"/>
    <n v="3450"/>
    <n v="0.05"/>
    <n v="172.5"/>
    <x v="2"/>
  </r>
  <r>
    <x v="493"/>
    <x v="15"/>
    <x v="1"/>
    <x v="1"/>
    <n v="12"/>
    <n v="40"/>
    <n v="480"/>
    <n v="0.1"/>
    <n v="48"/>
    <x v="3"/>
  </r>
  <r>
    <x v="494"/>
    <x v="15"/>
    <x v="2"/>
    <x v="3"/>
    <n v="23"/>
    <n v="230"/>
    <n v="5290"/>
    <n v="0.06"/>
    <n v="317.39999999999998"/>
    <x v="4"/>
  </r>
  <r>
    <x v="495"/>
    <x v="15"/>
    <x v="3"/>
    <x v="0"/>
    <n v="11"/>
    <n v="16"/>
    <n v="176"/>
    <n v="0.09"/>
    <n v="15.84"/>
    <x v="5"/>
  </r>
  <r>
    <x v="496"/>
    <x v="15"/>
    <x v="4"/>
    <x v="0"/>
    <n v="9"/>
    <n v="150"/>
    <n v="1350"/>
    <n v="0.1"/>
    <n v="135"/>
    <x v="6"/>
  </r>
  <r>
    <x v="497"/>
    <x v="15"/>
    <x v="0"/>
    <x v="0"/>
    <n v="18"/>
    <n v="80"/>
    <n v="1440"/>
    <n v="0.02"/>
    <n v="28.8"/>
    <x v="7"/>
  </r>
  <r>
    <x v="498"/>
    <x v="15"/>
    <x v="1"/>
    <x v="4"/>
    <n v="23"/>
    <n v="40"/>
    <n v="920"/>
    <n v="0.04"/>
    <n v="36.799999999999997"/>
    <x v="8"/>
  </r>
  <r>
    <x v="499"/>
    <x v="15"/>
    <x v="3"/>
    <x v="4"/>
    <n v="17"/>
    <n v="16"/>
    <n v="272"/>
    <n v="0.1"/>
    <n v="27.2"/>
    <x v="9"/>
  </r>
  <r>
    <x v="500"/>
    <x v="15"/>
    <x v="4"/>
    <x v="4"/>
    <n v="17"/>
    <n v="150"/>
    <n v="2550"/>
    <n v="0.02"/>
    <n v="51"/>
    <x v="10"/>
  </r>
  <r>
    <x v="501"/>
    <x v="15"/>
    <x v="0"/>
    <x v="3"/>
    <n v="21"/>
    <n v="80"/>
    <n v="1680"/>
    <n v="0.02"/>
    <n v="33.6"/>
    <x v="11"/>
  </r>
  <r>
    <x v="502"/>
    <x v="15"/>
    <x v="1"/>
    <x v="3"/>
    <n v="11"/>
    <n v="40"/>
    <n v="440"/>
    <n v="0.06"/>
    <n v="26.4"/>
    <x v="0"/>
  </r>
  <r>
    <x v="503"/>
    <x v="15"/>
    <x v="1"/>
    <x v="0"/>
    <n v="19"/>
    <n v="40"/>
    <n v="760"/>
    <n v="0.04"/>
    <n v="30.4"/>
    <x v="1"/>
  </r>
  <r>
    <x v="504"/>
    <x v="15"/>
    <x v="1"/>
    <x v="0"/>
    <n v="23"/>
    <n v="40"/>
    <n v="920"/>
    <n v="0.03"/>
    <n v="27.6"/>
    <x v="2"/>
  </r>
  <r>
    <x v="505"/>
    <x v="15"/>
    <x v="2"/>
    <x v="1"/>
    <n v="14"/>
    <n v="230"/>
    <n v="3220"/>
    <n v="0.05"/>
    <n v="161"/>
    <x v="3"/>
  </r>
  <r>
    <x v="506"/>
    <x v="15"/>
    <x v="1"/>
    <x v="2"/>
    <n v="18"/>
    <n v="40"/>
    <n v="720"/>
    <n v="0.03"/>
    <n v="21.6"/>
    <x v="4"/>
  </r>
  <r>
    <x v="507"/>
    <x v="15"/>
    <x v="4"/>
    <x v="1"/>
    <n v="2"/>
    <n v="150"/>
    <n v="300"/>
    <n v="0.09"/>
    <n v="27"/>
    <x v="5"/>
  </r>
  <r>
    <x v="508"/>
    <x v="15"/>
    <x v="2"/>
    <x v="1"/>
    <n v="7"/>
    <n v="230"/>
    <n v="1610"/>
    <n v="0.05"/>
    <n v="80.5"/>
    <x v="6"/>
  </r>
  <r>
    <x v="509"/>
    <x v="16"/>
    <x v="4"/>
    <x v="2"/>
    <n v="9"/>
    <n v="150"/>
    <n v="1350"/>
    <n v="0.02"/>
    <n v="27"/>
    <x v="7"/>
  </r>
  <r>
    <x v="510"/>
    <x v="16"/>
    <x v="1"/>
    <x v="4"/>
    <n v="3"/>
    <n v="40"/>
    <n v="120"/>
    <n v="0.03"/>
    <n v="3.6"/>
    <x v="8"/>
  </r>
  <r>
    <x v="511"/>
    <x v="16"/>
    <x v="0"/>
    <x v="3"/>
    <n v="2"/>
    <n v="80"/>
    <n v="160"/>
    <n v="0.08"/>
    <n v="12.8"/>
    <x v="9"/>
  </r>
  <r>
    <x v="512"/>
    <x v="16"/>
    <x v="3"/>
    <x v="4"/>
    <n v="19"/>
    <n v="16"/>
    <n v="304"/>
    <n v="0.02"/>
    <n v="6.08"/>
    <x v="10"/>
  </r>
  <r>
    <x v="513"/>
    <x v="16"/>
    <x v="3"/>
    <x v="1"/>
    <n v="21"/>
    <n v="16"/>
    <n v="336"/>
    <n v="0.02"/>
    <n v="6.72"/>
    <x v="11"/>
  </r>
  <r>
    <x v="514"/>
    <x v="16"/>
    <x v="0"/>
    <x v="3"/>
    <n v="21"/>
    <n v="80"/>
    <n v="1680"/>
    <n v="0.05"/>
    <n v="84"/>
    <x v="0"/>
  </r>
  <r>
    <x v="515"/>
    <x v="16"/>
    <x v="2"/>
    <x v="4"/>
    <n v="3"/>
    <n v="230"/>
    <n v="690"/>
    <n v="0.1"/>
    <n v="69"/>
    <x v="1"/>
  </r>
  <r>
    <x v="516"/>
    <x v="16"/>
    <x v="1"/>
    <x v="2"/>
    <n v="4"/>
    <n v="40"/>
    <n v="160"/>
    <n v="0.11"/>
    <n v="17.600000000000001"/>
    <x v="2"/>
  </r>
  <r>
    <x v="517"/>
    <x v="16"/>
    <x v="4"/>
    <x v="4"/>
    <n v="7"/>
    <n v="150"/>
    <n v="1050"/>
    <n v="0.03"/>
    <n v="31.5"/>
    <x v="3"/>
  </r>
  <r>
    <x v="518"/>
    <x v="16"/>
    <x v="3"/>
    <x v="2"/>
    <n v="11"/>
    <n v="16"/>
    <n v="176"/>
    <n v="0.12"/>
    <n v="21.12"/>
    <x v="4"/>
  </r>
  <r>
    <x v="519"/>
    <x v="16"/>
    <x v="0"/>
    <x v="0"/>
    <n v="17"/>
    <n v="80"/>
    <n v="1360"/>
    <n v="7.0000000000000007E-2"/>
    <n v="95.2"/>
    <x v="5"/>
  </r>
  <r>
    <x v="520"/>
    <x v="16"/>
    <x v="3"/>
    <x v="3"/>
    <n v="5"/>
    <n v="16"/>
    <n v="80"/>
    <n v="0.09"/>
    <n v="7.2"/>
    <x v="6"/>
  </r>
  <r>
    <x v="521"/>
    <x v="16"/>
    <x v="3"/>
    <x v="4"/>
    <n v="13"/>
    <n v="16"/>
    <n v="208"/>
    <n v="7.0000000000000007E-2"/>
    <n v="14.56"/>
    <x v="7"/>
  </r>
  <r>
    <x v="522"/>
    <x v="16"/>
    <x v="0"/>
    <x v="4"/>
    <n v="9"/>
    <n v="80"/>
    <n v="720"/>
    <n v="0.02"/>
    <n v="14.4"/>
    <x v="8"/>
  </r>
  <r>
    <x v="523"/>
    <x v="17"/>
    <x v="0"/>
    <x v="4"/>
    <n v="9"/>
    <n v="80"/>
    <n v="720"/>
    <n v="0.02"/>
    <n v="14.4"/>
    <x v="9"/>
  </r>
  <r>
    <x v="524"/>
    <x v="17"/>
    <x v="0"/>
    <x v="3"/>
    <n v="22"/>
    <n v="80"/>
    <n v="1760"/>
    <n v="0.03"/>
    <n v="52.8"/>
    <x v="10"/>
  </r>
  <r>
    <x v="525"/>
    <x v="17"/>
    <x v="4"/>
    <x v="0"/>
    <n v="13"/>
    <n v="150"/>
    <n v="1950"/>
    <n v="0.05"/>
    <n v="97.5"/>
    <x v="11"/>
  </r>
  <r>
    <x v="526"/>
    <x v="17"/>
    <x v="0"/>
    <x v="0"/>
    <n v="14"/>
    <n v="80"/>
    <n v="1120"/>
    <n v="0.08"/>
    <n v="89.6"/>
    <x v="0"/>
  </r>
  <r>
    <x v="527"/>
    <x v="17"/>
    <x v="0"/>
    <x v="0"/>
    <n v="6"/>
    <n v="80"/>
    <n v="480"/>
    <n v="7.0000000000000007E-2"/>
    <n v="33.6"/>
    <x v="1"/>
  </r>
  <r>
    <x v="528"/>
    <x v="17"/>
    <x v="0"/>
    <x v="0"/>
    <n v="16"/>
    <n v="80"/>
    <n v="1280"/>
    <n v="0.03"/>
    <n v="38.4"/>
    <x v="2"/>
  </r>
  <r>
    <x v="529"/>
    <x v="17"/>
    <x v="4"/>
    <x v="2"/>
    <n v="22"/>
    <n v="150"/>
    <n v="3300"/>
    <n v="0.09"/>
    <n v="297"/>
    <x v="3"/>
  </r>
  <r>
    <x v="530"/>
    <x v="17"/>
    <x v="4"/>
    <x v="3"/>
    <n v="4"/>
    <n v="150"/>
    <n v="600"/>
    <n v="0.12"/>
    <n v="72"/>
    <x v="4"/>
  </r>
  <r>
    <x v="531"/>
    <x v="17"/>
    <x v="2"/>
    <x v="4"/>
    <n v="7"/>
    <n v="230"/>
    <n v="1610"/>
    <n v="0.05"/>
    <n v="80.5"/>
    <x v="5"/>
  </r>
  <r>
    <x v="532"/>
    <x v="17"/>
    <x v="4"/>
    <x v="3"/>
    <n v="20"/>
    <n v="150"/>
    <n v="3000"/>
    <n v="0.1"/>
    <n v="300"/>
    <x v="6"/>
  </r>
  <r>
    <x v="533"/>
    <x v="17"/>
    <x v="2"/>
    <x v="3"/>
    <n v="8"/>
    <n v="230"/>
    <n v="1840"/>
    <n v="0.05"/>
    <n v="92"/>
    <x v="7"/>
  </r>
  <r>
    <x v="534"/>
    <x v="18"/>
    <x v="1"/>
    <x v="3"/>
    <n v="9"/>
    <n v="40"/>
    <n v="360"/>
    <n v="0.06"/>
    <n v="21.6"/>
    <x v="8"/>
  </r>
  <r>
    <x v="535"/>
    <x v="18"/>
    <x v="2"/>
    <x v="3"/>
    <n v="19"/>
    <n v="230"/>
    <n v="4370"/>
    <n v="0.06"/>
    <n v="262.2"/>
    <x v="9"/>
  </r>
  <r>
    <x v="536"/>
    <x v="18"/>
    <x v="1"/>
    <x v="3"/>
    <n v="22"/>
    <n v="40"/>
    <n v="880"/>
    <n v="0.01"/>
    <n v="8.8000000000000007"/>
    <x v="10"/>
  </r>
  <r>
    <x v="537"/>
    <x v="18"/>
    <x v="1"/>
    <x v="0"/>
    <n v="22"/>
    <n v="40"/>
    <n v="880"/>
    <n v="0.02"/>
    <n v="17.600000000000001"/>
    <x v="11"/>
  </r>
  <r>
    <x v="538"/>
    <x v="18"/>
    <x v="0"/>
    <x v="4"/>
    <n v="10"/>
    <n v="80"/>
    <n v="800"/>
    <n v="0.06"/>
    <n v="48"/>
    <x v="0"/>
  </r>
  <r>
    <x v="539"/>
    <x v="18"/>
    <x v="1"/>
    <x v="3"/>
    <n v="7"/>
    <n v="40"/>
    <n v="280"/>
    <n v="0.11"/>
    <n v="30.8"/>
    <x v="1"/>
  </r>
  <r>
    <x v="540"/>
    <x v="18"/>
    <x v="2"/>
    <x v="0"/>
    <n v="7"/>
    <n v="230"/>
    <n v="1610"/>
    <n v="0.08"/>
    <n v="128.80000000000001"/>
    <x v="2"/>
  </r>
  <r>
    <x v="541"/>
    <x v="18"/>
    <x v="3"/>
    <x v="0"/>
    <n v="18"/>
    <n v="16"/>
    <n v="288"/>
    <n v="0.11"/>
    <n v="31.68"/>
    <x v="3"/>
  </r>
  <r>
    <x v="542"/>
    <x v="18"/>
    <x v="2"/>
    <x v="2"/>
    <n v="14"/>
    <n v="230"/>
    <n v="3220"/>
    <n v="0.12"/>
    <n v="386.4"/>
    <x v="4"/>
  </r>
  <r>
    <x v="543"/>
    <x v="18"/>
    <x v="1"/>
    <x v="1"/>
    <n v="21"/>
    <n v="40"/>
    <n v="840"/>
    <n v="0.03"/>
    <n v="25.2"/>
    <x v="5"/>
  </r>
  <r>
    <x v="544"/>
    <x v="18"/>
    <x v="4"/>
    <x v="0"/>
    <n v="3"/>
    <n v="150"/>
    <n v="450"/>
    <n v="0.03"/>
    <n v="13.5"/>
    <x v="6"/>
  </r>
  <r>
    <x v="545"/>
    <x v="18"/>
    <x v="0"/>
    <x v="0"/>
    <n v="12"/>
    <n v="80"/>
    <n v="960"/>
    <n v="0.04"/>
    <n v="38.4"/>
    <x v="7"/>
  </r>
  <r>
    <x v="546"/>
    <x v="19"/>
    <x v="4"/>
    <x v="3"/>
    <n v="6"/>
    <n v="150"/>
    <n v="900"/>
    <n v="0.03"/>
    <n v="27"/>
    <x v="8"/>
  </r>
  <r>
    <x v="547"/>
    <x v="19"/>
    <x v="1"/>
    <x v="2"/>
    <n v="20"/>
    <n v="40"/>
    <n v="800"/>
    <n v="0.01"/>
    <n v="8"/>
    <x v="9"/>
  </r>
  <r>
    <x v="548"/>
    <x v="19"/>
    <x v="2"/>
    <x v="0"/>
    <n v="3"/>
    <n v="230"/>
    <n v="690"/>
    <n v="0.06"/>
    <n v="41.4"/>
    <x v="6"/>
  </r>
  <r>
    <x v="549"/>
    <x v="19"/>
    <x v="2"/>
    <x v="3"/>
    <n v="3"/>
    <n v="230"/>
    <n v="690"/>
    <n v="0.01"/>
    <n v="6.9"/>
    <x v="7"/>
  </r>
  <r>
    <x v="550"/>
    <x v="19"/>
    <x v="1"/>
    <x v="0"/>
    <n v="20"/>
    <n v="40"/>
    <n v="800"/>
    <n v="0.04"/>
    <n v="32"/>
    <x v="8"/>
  </r>
  <r>
    <x v="551"/>
    <x v="19"/>
    <x v="0"/>
    <x v="2"/>
    <n v="16"/>
    <n v="80"/>
    <n v="1280"/>
    <n v="0.02"/>
    <n v="25.6"/>
    <x v="9"/>
  </r>
  <r>
    <x v="552"/>
    <x v="19"/>
    <x v="4"/>
    <x v="0"/>
    <n v="8"/>
    <n v="150"/>
    <n v="1200"/>
    <n v="0.09"/>
    <n v="108"/>
    <x v="6"/>
  </r>
  <r>
    <x v="553"/>
    <x v="20"/>
    <x v="2"/>
    <x v="1"/>
    <n v="7"/>
    <n v="230"/>
    <n v="1610"/>
    <n v="0.01"/>
    <n v="16.100000000000001"/>
    <x v="7"/>
  </r>
  <r>
    <x v="554"/>
    <x v="20"/>
    <x v="4"/>
    <x v="1"/>
    <n v="23"/>
    <n v="150"/>
    <n v="3450"/>
    <n v="0.11"/>
    <n v="379.5"/>
    <x v="8"/>
  </r>
  <r>
    <x v="555"/>
    <x v="20"/>
    <x v="1"/>
    <x v="4"/>
    <n v="16"/>
    <n v="40"/>
    <n v="640"/>
    <n v="0.09"/>
    <n v="57.6"/>
    <x v="9"/>
  </r>
  <r>
    <x v="556"/>
    <x v="20"/>
    <x v="1"/>
    <x v="4"/>
    <n v="20"/>
    <n v="40"/>
    <n v="800"/>
    <n v="0.1"/>
    <n v="80"/>
    <x v="6"/>
  </r>
  <r>
    <x v="557"/>
    <x v="20"/>
    <x v="1"/>
    <x v="1"/>
    <n v="18"/>
    <n v="40"/>
    <n v="720"/>
    <n v="0.08"/>
    <n v="57.6"/>
    <x v="7"/>
  </r>
  <r>
    <x v="558"/>
    <x v="20"/>
    <x v="0"/>
    <x v="4"/>
    <n v="22"/>
    <n v="80"/>
    <n v="1760"/>
    <n v="0.09"/>
    <n v="158.4"/>
    <x v="8"/>
  </r>
  <r>
    <x v="559"/>
    <x v="20"/>
    <x v="4"/>
    <x v="1"/>
    <n v="22"/>
    <n v="150"/>
    <n v="3300"/>
    <n v="0.02"/>
    <n v="66"/>
    <x v="9"/>
  </r>
  <r>
    <x v="560"/>
    <x v="20"/>
    <x v="4"/>
    <x v="1"/>
    <n v="20"/>
    <n v="150"/>
    <n v="3000"/>
    <n v="0.09"/>
    <n v="270"/>
    <x v="6"/>
  </r>
  <r>
    <x v="561"/>
    <x v="20"/>
    <x v="3"/>
    <x v="0"/>
    <n v="10"/>
    <n v="16"/>
    <n v="160"/>
    <n v="0.08"/>
    <n v="12.8"/>
    <x v="7"/>
  </r>
  <r>
    <x v="562"/>
    <x v="20"/>
    <x v="1"/>
    <x v="2"/>
    <n v="12"/>
    <n v="40"/>
    <n v="480"/>
    <n v="0.02"/>
    <n v="9.6"/>
    <x v="8"/>
  </r>
  <r>
    <x v="563"/>
    <x v="20"/>
    <x v="4"/>
    <x v="0"/>
    <n v="4"/>
    <n v="150"/>
    <n v="600"/>
    <n v="0.1"/>
    <n v="60"/>
    <x v="9"/>
  </r>
  <r>
    <x v="564"/>
    <x v="20"/>
    <x v="0"/>
    <x v="2"/>
    <n v="5"/>
    <n v="80"/>
    <n v="400"/>
    <n v="0.09"/>
    <n v="36"/>
    <x v="6"/>
  </r>
  <r>
    <x v="565"/>
    <x v="20"/>
    <x v="1"/>
    <x v="0"/>
    <n v="11"/>
    <n v="40"/>
    <n v="440"/>
    <n v="0.04"/>
    <n v="17.600000000000001"/>
    <x v="7"/>
  </r>
  <r>
    <x v="566"/>
    <x v="20"/>
    <x v="4"/>
    <x v="1"/>
    <n v="13"/>
    <n v="150"/>
    <n v="1950"/>
    <n v="0.08"/>
    <n v="156"/>
    <x v="8"/>
  </r>
  <r>
    <x v="567"/>
    <x v="20"/>
    <x v="0"/>
    <x v="3"/>
    <n v="19"/>
    <n v="80"/>
    <n v="1520"/>
    <n v="0.02"/>
    <n v="30.4"/>
    <x v="9"/>
  </r>
  <r>
    <x v="568"/>
    <x v="20"/>
    <x v="2"/>
    <x v="1"/>
    <n v="7"/>
    <n v="230"/>
    <n v="1610"/>
    <n v="0.01"/>
    <n v="16.100000000000001"/>
    <x v="6"/>
  </r>
  <r>
    <x v="569"/>
    <x v="21"/>
    <x v="0"/>
    <x v="4"/>
    <n v="16"/>
    <n v="80"/>
    <n v="1280"/>
    <n v="0.09"/>
    <n v="115.2"/>
    <x v="7"/>
  </r>
  <r>
    <x v="570"/>
    <x v="21"/>
    <x v="2"/>
    <x v="0"/>
    <n v="7"/>
    <n v="230"/>
    <n v="1610"/>
    <n v="0.02"/>
    <n v="32.200000000000003"/>
    <x v="8"/>
  </r>
  <r>
    <x v="571"/>
    <x v="21"/>
    <x v="1"/>
    <x v="0"/>
    <n v="5"/>
    <n v="40"/>
    <n v="200"/>
    <n v="0.06"/>
    <n v="12"/>
    <x v="9"/>
  </r>
  <r>
    <x v="572"/>
    <x v="21"/>
    <x v="4"/>
    <x v="2"/>
    <n v="9"/>
    <n v="150"/>
    <n v="1350"/>
    <n v="0.06"/>
    <n v="81"/>
    <x v="6"/>
  </r>
  <r>
    <x v="573"/>
    <x v="21"/>
    <x v="1"/>
    <x v="4"/>
    <n v="20"/>
    <n v="40"/>
    <n v="800"/>
    <n v="7.0000000000000007E-2"/>
    <n v="56"/>
    <x v="7"/>
  </r>
  <r>
    <x v="574"/>
    <x v="21"/>
    <x v="3"/>
    <x v="1"/>
    <n v="20"/>
    <n v="16"/>
    <n v="320"/>
    <n v="0.06"/>
    <n v="19.2"/>
    <x v="8"/>
  </r>
  <r>
    <x v="575"/>
    <x v="21"/>
    <x v="1"/>
    <x v="4"/>
    <n v="5"/>
    <n v="40"/>
    <n v="200"/>
    <n v="0.03"/>
    <n v="6"/>
    <x v="9"/>
  </r>
  <r>
    <x v="576"/>
    <x v="22"/>
    <x v="0"/>
    <x v="3"/>
    <n v="7"/>
    <n v="80"/>
    <n v="560"/>
    <n v="7.0000000000000007E-2"/>
    <n v="39.200000000000003"/>
    <x v="6"/>
  </r>
  <r>
    <x v="577"/>
    <x v="22"/>
    <x v="3"/>
    <x v="4"/>
    <n v="22"/>
    <n v="16"/>
    <n v="352"/>
    <n v="0.12"/>
    <n v="42.24"/>
    <x v="7"/>
  </r>
  <r>
    <x v="578"/>
    <x v="22"/>
    <x v="3"/>
    <x v="4"/>
    <n v="11"/>
    <n v="16"/>
    <n v="176"/>
    <n v="0.12"/>
    <n v="21.12"/>
    <x v="8"/>
  </r>
  <r>
    <x v="579"/>
    <x v="22"/>
    <x v="2"/>
    <x v="3"/>
    <n v="17"/>
    <n v="230"/>
    <n v="3910"/>
    <n v="0.12"/>
    <n v="469.2"/>
    <x v="9"/>
  </r>
  <r>
    <x v="580"/>
    <x v="22"/>
    <x v="0"/>
    <x v="0"/>
    <n v="7"/>
    <n v="80"/>
    <n v="560"/>
    <n v="0.02"/>
    <n v="11.2"/>
    <x v="6"/>
  </r>
  <r>
    <x v="581"/>
    <x v="22"/>
    <x v="3"/>
    <x v="1"/>
    <n v="5"/>
    <n v="16"/>
    <n v="80"/>
    <n v="0.11"/>
    <n v="8.8000000000000007"/>
    <x v="7"/>
  </r>
  <r>
    <x v="582"/>
    <x v="22"/>
    <x v="4"/>
    <x v="4"/>
    <n v="18"/>
    <n v="150"/>
    <n v="2700"/>
    <n v="0.12"/>
    <n v="324"/>
    <x v="8"/>
  </r>
  <r>
    <x v="583"/>
    <x v="22"/>
    <x v="1"/>
    <x v="4"/>
    <n v="10"/>
    <n v="40"/>
    <n v="400"/>
    <n v="0.03"/>
    <n v="12"/>
    <x v="9"/>
  </r>
  <r>
    <x v="584"/>
    <x v="22"/>
    <x v="1"/>
    <x v="4"/>
    <n v="14"/>
    <n v="40"/>
    <n v="560"/>
    <n v="0.11"/>
    <n v="61.6"/>
    <x v="6"/>
  </r>
  <r>
    <x v="585"/>
    <x v="22"/>
    <x v="1"/>
    <x v="4"/>
    <n v="16"/>
    <n v="40"/>
    <n v="640"/>
    <n v="0.09"/>
    <n v="57.6"/>
    <x v="7"/>
  </r>
  <r>
    <x v="586"/>
    <x v="23"/>
    <x v="1"/>
    <x v="3"/>
    <n v="23"/>
    <n v="40"/>
    <n v="920"/>
    <n v="0.06"/>
    <n v="55.2"/>
    <x v="8"/>
  </r>
  <r>
    <x v="587"/>
    <x v="23"/>
    <x v="2"/>
    <x v="3"/>
    <n v="8"/>
    <n v="230"/>
    <n v="1840"/>
    <n v="0.05"/>
    <n v="92"/>
    <x v="9"/>
  </r>
  <r>
    <x v="588"/>
    <x v="23"/>
    <x v="3"/>
    <x v="3"/>
    <n v="14"/>
    <n v="16"/>
    <n v="224"/>
    <n v="0.12"/>
    <n v="26.88"/>
    <x v="6"/>
  </r>
  <r>
    <x v="589"/>
    <x v="23"/>
    <x v="0"/>
    <x v="0"/>
    <n v="17"/>
    <n v="80"/>
    <n v="1360"/>
    <n v="0.09"/>
    <n v="122.4"/>
    <x v="7"/>
  </r>
  <r>
    <x v="590"/>
    <x v="23"/>
    <x v="4"/>
    <x v="2"/>
    <n v="11"/>
    <n v="150"/>
    <n v="1650"/>
    <n v="0.11"/>
    <n v="181.5"/>
    <x v="8"/>
  </r>
  <r>
    <x v="591"/>
    <x v="23"/>
    <x v="1"/>
    <x v="3"/>
    <n v="15"/>
    <n v="40"/>
    <n v="600"/>
    <n v="0.03"/>
    <n v="18"/>
    <x v="9"/>
  </r>
  <r>
    <x v="592"/>
    <x v="23"/>
    <x v="0"/>
    <x v="4"/>
    <n v="9"/>
    <n v="80"/>
    <n v="720"/>
    <n v="7.0000000000000007E-2"/>
    <n v="50.4"/>
    <x v="6"/>
  </r>
  <r>
    <x v="593"/>
    <x v="23"/>
    <x v="2"/>
    <x v="1"/>
    <n v="22"/>
    <n v="230"/>
    <n v="5060"/>
    <n v="0.04"/>
    <n v="202.4"/>
    <x v="7"/>
  </r>
  <r>
    <x v="594"/>
    <x v="23"/>
    <x v="2"/>
    <x v="1"/>
    <n v="11"/>
    <n v="230"/>
    <n v="2530"/>
    <n v="0.1"/>
    <n v="253"/>
    <x v="8"/>
  </r>
  <r>
    <x v="595"/>
    <x v="23"/>
    <x v="1"/>
    <x v="2"/>
    <n v="11"/>
    <n v="40"/>
    <n v="440"/>
    <n v="0.12"/>
    <n v="52.8"/>
    <x v="9"/>
  </r>
  <r>
    <x v="596"/>
    <x v="23"/>
    <x v="1"/>
    <x v="3"/>
    <n v="9"/>
    <n v="40"/>
    <n v="360"/>
    <n v="0.06"/>
    <n v="21.6"/>
    <x v="6"/>
  </r>
  <r>
    <x v="597"/>
    <x v="24"/>
    <x v="1"/>
    <x v="3"/>
    <n v="13"/>
    <n v="40"/>
    <n v="520"/>
    <n v="0.09"/>
    <n v="46.8"/>
    <x v="7"/>
  </r>
  <r>
    <x v="598"/>
    <x v="24"/>
    <x v="1"/>
    <x v="1"/>
    <n v="4"/>
    <n v="40"/>
    <n v="160"/>
    <n v="0.12"/>
    <n v="19.2"/>
    <x v="8"/>
  </r>
  <r>
    <x v="599"/>
    <x v="24"/>
    <x v="4"/>
    <x v="0"/>
    <n v="22"/>
    <n v="150"/>
    <n v="3300"/>
    <n v="0.05"/>
    <n v="165"/>
    <x v="9"/>
  </r>
  <r>
    <x v="600"/>
    <x v="24"/>
    <x v="1"/>
    <x v="4"/>
    <n v="21"/>
    <n v="40"/>
    <n v="840"/>
    <n v="0.01"/>
    <n v="8.4"/>
    <x v="6"/>
  </r>
  <r>
    <x v="601"/>
    <x v="24"/>
    <x v="3"/>
    <x v="0"/>
    <n v="16"/>
    <n v="16"/>
    <n v="256"/>
    <n v="0.03"/>
    <n v="7.68"/>
    <x v="7"/>
  </r>
  <r>
    <x v="602"/>
    <x v="24"/>
    <x v="0"/>
    <x v="3"/>
    <n v="16"/>
    <n v="80"/>
    <n v="1280"/>
    <n v="7.0000000000000007E-2"/>
    <n v="89.6"/>
    <x v="8"/>
  </r>
  <r>
    <x v="603"/>
    <x v="24"/>
    <x v="0"/>
    <x v="1"/>
    <n v="15"/>
    <n v="80"/>
    <n v="1200"/>
    <n v="0.12"/>
    <n v="144"/>
    <x v="9"/>
  </r>
  <r>
    <x v="604"/>
    <x v="24"/>
    <x v="4"/>
    <x v="0"/>
    <n v="20"/>
    <n v="150"/>
    <n v="3000"/>
    <n v="0.03"/>
    <n v="90"/>
    <x v="6"/>
  </r>
  <r>
    <x v="605"/>
    <x v="24"/>
    <x v="1"/>
    <x v="3"/>
    <n v="13"/>
    <n v="40"/>
    <n v="520"/>
    <n v="0.06"/>
    <n v="31.2"/>
    <x v="7"/>
  </r>
  <r>
    <x v="606"/>
    <x v="24"/>
    <x v="3"/>
    <x v="4"/>
    <n v="3"/>
    <n v="16"/>
    <n v="48"/>
    <n v="0.06"/>
    <n v="2.88"/>
    <x v="8"/>
  </r>
  <r>
    <x v="607"/>
    <x v="24"/>
    <x v="3"/>
    <x v="2"/>
    <n v="11"/>
    <n v="16"/>
    <n v="176"/>
    <n v="0.04"/>
    <n v="7.04"/>
    <x v="9"/>
  </r>
  <r>
    <x v="608"/>
    <x v="25"/>
    <x v="1"/>
    <x v="4"/>
    <n v="16"/>
    <n v="40"/>
    <n v="640"/>
    <n v="0.09"/>
    <n v="57.6"/>
    <x v="6"/>
  </r>
  <r>
    <x v="609"/>
    <x v="25"/>
    <x v="1"/>
    <x v="2"/>
    <n v="4"/>
    <n v="40"/>
    <n v="160"/>
    <n v="0.06"/>
    <n v="9.6"/>
    <x v="7"/>
  </r>
  <r>
    <x v="610"/>
    <x v="25"/>
    <x v="1"/>
    <x v="2"/>
    <n v="20"/>
    <n v="40"/>
    <n v="800"/>
    <n v="0.01"/>
    <n v="8"/>
    <x v="8"/>
  </r>
  <r>
    <x v="611"/>
    <x v="25"/>
    <x v="1"/>
    <x v="2"/>
    <n v="4"/>
    <n v="40"/>
    <n v="160"/>
    <n v="0.1"/>
    <n v="16"/>
    <x v="9"/>
  </r>
  <r>
    <x v="612"/>
    <x v="25"/>
    <x v="0"/>
    <x v="1"/>
    <n v="14"/>
    <n v="80"/>
    <n v="1120"/>
    <n v="0.06"/>
    <n v="67.2"/>
    <x v="6"/>
  </r>
  <r>
    <x v="613"/>
    <x v="25"/>
    <x v="4"/>
    <x v="1"/>
    <n v="15"/>
    <n v="150"/>
    <n v="2250"/>
    <n v="0.02"/>
    <n v="45"/>
    <x v="7"/>
  </r>
  <r>
    <x v="614"/>
    <x v="25"/>
    <x v="0"/>
    <x v="2"/>
    <n v="14"/>
    <n v="80"/>
    <n v="1120"/>
    <n v="0.1"/>
    <n v="112"/>
    <x v="8"/>
  </r>
  <r>
    <x v="615"/>
    <x v="25"/>
    <x v="4"/>
    <x v="0"/>
    <n v="20"/>
    <n v="150"/>
    <n v="3000"/>
    <n v="0.04"/>
    <n v="120"/>
    <x v="9"/>
  </r>
  <r>
    <x v="616"/>
    <x v="25"/>
    <x v="0"/>
    <x v="4"/>
    <n v="22"/>
    <n v="80"/>
    <n v="1760"/>
    <n v="0.1"/>
    <n v="176"/>
    <x v="6"/>
  </r>
  <r>
    <x v="617"/>
    <x v="25"/>
    <x v="2"/>
    <x v="4"/>
    <n v="20"/>
    <n v="230"/>
    <n v="4600"/>
    <n v="0.09"/>
    <n v="414"/>
    <x v="7"/>
  </r>
  <r>
    <x v="618"/>
    <x v="25"/>
    <x v="2"/>
    <x v="2"/>
    <n v="12"/>
    <n v="230"/>
    <n v="2760"/>
    <n v="0.03"/>
    <n v="82.8"/>
    <x v="8"/>
  </r>
  <r>
    <x v="619"/>
    <x v="26"/>
    <x v="0"/>
    <x v="0"/>
    <n v="21"/>
    <n v="80"/>
    <n v="1680"/>
    <n v="0.04"/>
    <n v="67.2"/>
    <x v="9"/>
  </r>
  <r>
    <x v="620"/>
    <x v="26"/>
    <x v="1"/>
    <x v="1"/>
    <n v="15"/>
    <n v="40"/>
    <n v="600"/>
    <n v="0.04"/>
    <n v="24"/>
    <x v="6"/>
  </r>
  <r>
    <x v="621"/>
    <x v="26"/>
    <x v="0"/>
    <x v="3"/>
    <n v="16"/>
    <n v="80"/>
    <n v="1280"/>
    <n v="0.1"/>
    <n v="128"/>
    <x v="7"/>
  </r>
  <r>
    <x v="622"/>
    <x v="26"/>
    <x v="2"/>
    <x v="4"/>
    <n v="17"/>
    <n v="230"/>
    <n v="3910"/>
    <n v="0.11"/>
    <n v="430.1"/>
    <x v="8"/>
  </r>
  <r>
    <x v="623"/>
    <x v="26"/>
    <x v="2"/>
    <x v="4"/>
    <n v="5"/>
    <n v="230"/>
    <n v="1150"/>
    <n v="0.12"/>
    <n v="138"/>
    <x v="9"/>
  </r>
  <r>
    <x v="624"/>
    <x v="26"/>
    <x v="3"/>
    <x v="0"/>
    <n v="20"/>
    <n v="16"/>
    <n v="320"/>
    <n v="0.01"/>
    <n v="3.2"/>
    <x v="6"/>
  </r>
  <r>
    <x v="625"/>
    <x v="26"/>
    <x v="2"/>
    <x v="0"/>
    <n v="5"/>
    <n v="230"/>
    <n v="1150"/>
    <n v="0.1"/>
    <n v="115"/>
    <x v="7"/>
  </r>
  <r>
    <x v="626"/>
    <x v="26"/>
    <x v="1"/>
    <x v="1"/>
    <n v="8"/>
    <n v="40"/>
    <n v="320"/>
    <n v="0.09"/>
    <n v="28.8"/>
    <x v="8"/>
  </r>
  <r>
    <x v="627"/>
    <x v="26"/>
    <x v="3"/>
    <x v="0"/>
    <n v="7"/>
    <n v="16"/>
    <n v="112"/>
    <n v="0.02"/>
    <n v="2.2400000000000002"/>
    <x v="9"/>
  </r>
  <r>
    <x v="628"/>
    <x v="26"/>
    <x v="4"/>
    <x v="3"/>
    <n v="15"/>
    <n v="150"/>
    <n v="2250"/>
    <n v="0.08"/>
    <n v="180"/>
    <x v="6"/>
  </r>
  <r>
    <x v="629"/>
    <x v="26"/>
    <x v="2"/>
    <x v="4"/>
    <n v="20"/>
    <n v="230"/>
    <n v="4600"/>
    <n v="0.11"/>
    <n v="506"/>
    <x v="7"/>
  </r>
  <r>
    <x v="630"/>
    <x v="26"/>
    <x v="3"/>
    <x v="1"/>
    <n v="4"/>
    <n v="16"/>
    <n v="64"/>
    <n v="0.09"/>
    <n v="5.76"/>
    <x v="8"/>
  </r>
  <r>
    <x v="631"/>
    <x v="26"/>
    <x v="1"/>
    <x v="3"/>
    <n v="11"/>
    <n v="40"/>
    <n v="440"/>
    <n v="0.09"/>
    <n v="39.6"/>
    <x v="9"/>
  </r>
  <r>
    <x v="632"/>
    <x v="26"/>
    <x v="4"/>
    <x v="2"/>
    <n v="15"/>
    <n v="150"/>
    <n v="2250"/>
    <n v="0.05"/>
    <n v="112.5"/>
    <x v="6"/>
  </r>
  <r>
    <x v="633"/>
    <x v="26"/>
    <x v="2"/>
    <x v="2"/>
    <n v="5"/>
    <n v="230"/>
    <n v="1150"/>
    <n v="0.01"/>
    <n v="11.5"/>
    <x v="7"/>
  </r>
  <r>
    <x v="634"/>
    <x v="26"/>
    <x v="2"/>
    <x v="2"/>
    <n v="14"/>
    <n v="230"/>
    <n v="3220"/>
    <n v="0.03"/>
    <n v="96.6"/>
    <x v="8"/>
  </r>
  <r>
    <x v="635"/>
    <x v="26"/>
    <x v="1"/>
    <x v="4"/>
    <n v="23"/>
    <n v="40"/>
    <n v="920"/>
    <n v="0.05"/>
    <n v="46"/>
    <x v="9"/>
  </r>
  <r>
    <x v="636"/>
    <x v="26"/>
    <x v="0"/>
    <x v="3"/>
    <n v="22"/>
    <n v="80"/>
    <n v="1760"/>
    <n v="0.03"/>
    <n v="52.8"/>
    <x v="6"/>
  </r>
  <r>
    <x v="637"/>
    <x v="27"/>
    <x v="2"/>
    <x v="2"/>
    <n v="20"/>
    <n v="230"/>
    <n v="4600"/>
    <n v="0.06"/>
    <n v="276"/>
    <x v="7"/>
  </r>
  <r>
    <x v="638"/>
    <x v="27"/>
    <x v="2"/>
    <x v="1"/>
    <n v="15"/>
    <n v="230"/>
    <n v="3450"/>
    <n v="0.09"/>
    <n v="310.5"/>
    <x v="8"/>
  </r>
  <r>
    <x v="639"/>
    <x v="27"/>
    <x v="4"/>
    <x v="2"/>
    <n v="18"/>
    <n v="150"/>
    <n v="2700"/>
    <n v="0.06"/>
    <n v="162"/>
    <x v="9"/>
  </r>
  <r>
    <x v="640"/>
    <x v="27"/>
    <x v="2"/>
    <x v="0"/>
    <n v="3"/>
    <n v="230"/>
    <n v="690"/>
    <n v="0.11"/>
    <n v="75.900000000000006"/>
    <x v="6"/>
  </r>
  <r>
    <x v="641"/>
    <x v="27"/>
    <x v="4"/>
    <x v="4"/>
    <n v="11"/>
    <n v="150"/>
    <n v="1650"/>
    <n v="0.09"/>
    <n v="148.5"/>
    <x v="7"/>
  </r>
  <r>
    <x v="642"/>
    <x v="27"/>
    <x v="2"/>
    <x v="0"/>
    <n v="11"/>
    <n v="230"/>
    <n v="2530"/>
    <n v="0.02"/>
    <n v="50.6"/>
    <x v="8"/>
  </r>
  <r>
    <x v="643"/>
    <x v="27"/>
    <x v="2"/>
    <x v="4"/>
    <n v="13"/>
    <n v="230"/>
    <n v="2990"/>
    <n v="0.06"/>
    <n v="179.4"/>
    <x v="9"/>
  </r>
  <r>
    <x v="644"/>
    <x v="28"/>
    <x v="0"/>
    <x v="3"/>
    <n v="11"/>
    <n v="80"/>
    <n v="880"/>
    <n v="0.01"/>
    <n v="8.8000000000000007"/>
    <x v="6"/>
  </r>
  <r>
    <x v="645"/>
    <x v="28"/>
    <x v="0"/>
    <x v="4"/>
    <n v="17"/>
    <n v="80"/>
    <n v="1360"/>
    <n v="7.0000000000000007E-2"/>
    <n v="95.2"/>
    <x v="7"/>
  </r>
  <r>
    <x v="646"/>
    <x v="28"/>
    <x v="4"/>
    <x v="4"/>
    <n v="15"/>
    <n v="150"/>
    <n v="2250"/>
    <n v="7.0000000000000007E-2"/>
    <n v="157.5"/>
    <x v="8"/>
  </r>
  <r>
    <x v="647"/>
    <x v="28"/>
    <x v="3"/>
    <x v="4"/>
    <n v="14"/>
    <n v="16"/>
    <n v="224"/>
    <n v="0.06"/>
    <n v="13.44"/>
    <x v="9"/>
  </r>
  <r>
    <x v="648"/>
    <x v="28"/>
    <x v="3"/>
    <x v="1"/>
    <n v="4"/>
    <n v="16"/>
    <n v="64"/>
    <n v="7.0000000000000007E-2"/>
    <n v="4.4800000000000004"/>
    <x v="6"/>
  </r>
  <r>
    <x v="649"/>
    <x v="28"/>
    <x v="4"/>
    <x v="4"/>
    <n v="23"/>
    <n v="150"/>
    <n v="3450"/>
    <n v="0.08"/>
    <n v="276"/>
    <x v="7"/>
  </r>
  <r>
    <x v="650"/>
    <x v="28"/>
    <x v="0"/>
    <x v="2"/>
    <n v="10"/>
    <n v="80"/>
    <n v="800"/>
    <n v="0.11"/>
    <n v="88"/>
    <x v="8"/>
  </r>
  <r>
    <x v="651"/>
    <x v="28"/>
    <x v="2"/>
    <x v="2"/>
    <n v="7"/>
    <n v="230"/>
    <n v="1610"/>
    <n v="0.01"/>
    <n v="16.100000000000001"/>
    <x v="9"/>
  </r>
  <r>
    <x v="652"/>
    <x v="28"/>
    <x v="2"/>
    <x v="0"/>
    <n v="16"/>
    <n v="230"/>
    <n v="3680"/>
    <n v="7.0000000000000007E-2"/>
    <n v="257.60000000000002"/>
    <x v="6"/>
  </r>
  <r>
    <x v="653"/>
    <x v="28"/>
    <x v="3"/>
    <x v="4"/>
    <n v="17"/>
    <n v="16"/>
    <n v="272"/>
    <n v="0.08"/>
    <n v="21.76"/>
    <x v="7"/>
  </r>
  <r>
    <x v="654"/>
    <x v="29"/>
    <x v="0"/>
    <x v="4"/>
    <n v="6"/>
    <n v="80"/>
    <n v="480"/>
    <n v="0.09"/>
    <n v="43.2"/>
    <x v="8"/>
  </r>
  <r>
    <x v="655"/>
    <x v="29"/>
    <x v="4"/>
    <x v="2"/>
    <n v="22"/>
    <n v="150"/>
    <n v="3300"/>
    <n v="0.04"/>
    <n v="132"/>
    <x v="9"/>
  </r>
  <r>
    <x v="656"/>
    <x v="29"/>
    <x v="1"/>
    <x v="4"/>
    <n v="20"/>
    <n v="40"/>
    <n v="800"/>
    <n v="0.03"/>
    <n v="24"/>
    <x v="6"/>
  </r>
  <r>
    <x v="657"/>
    <x v="29"/>
    <x v="4"/>
    <x v="1"/>
    <n v="16"/>
    <n v="150"/>
    <n v="2400"/>
    <n v="0.08"/>
    <n v="192"/>
    <x v="7"/>
  </r>
  <r>
    <x v="658"/>
    <x v="29"/>
    <x v="0"/>
    <x v="1"/>
    <n v="5"/>
    <n v="80"/>
    <n v="400"/>
    <n v="7.0000000000000007E-2"/>
    <n v="28"/>
    <x v="8"/>
  </r>
  <r>
    <x v="659"/>
    <x v="29"/>
    <x v="4"/>
    <x v="3"/>
    <n v="6"/>
    <n v="150"/>
    <n v="900"/>
    <n v="0.03"/>
    <n v="27"/>
    <x v="9"/>
  </r>
  <r>
    <x v="660"/>
    <x v="30"/>
    <x v="0"/>
    <x v="1"/>
    <n v="9"/>
    <n v="80"/>
    <n v="720"/>
    <n v="0.03"/>
    <n v="21.6"/>
    <x v="6"/>
  </r>
  <r>
    <x v="661"/>
    <x v="30"/>
    <x v="0"/>
    <x v="0"/>
    <n v="8"/>
    <n v="80"/>
    <n v="640"/>
    <n v="0.08"/>
    <n v="51.2"/>
    <x v="7"/>
  </r>
  <r>
    <x v="662"/>
    <x v="30"/>
    <x v="2"/>
    <x v="3"/>
    <n v="8"/>
    <n v="230"/>
    <n v="1840"/>
    <n v="0.01"/>
    <n v="18.399999999999999"/>
    <x v="8"/>
  </r>
  <r>
    <x v="663"/>
    <x v="30"/>
    <x v="3"/>
    <x v="4"/>
    <n v="12"/>
    <n v="16"/>
    <n v="192"/>
    <n v="0.04"/>
    <n v="7.68"/>
    <x v="9"/>
  </r>
  <r>
    <x v="664"/>
    <x v="30"/>
    <x v="3"/>
    <x v="3"/>
    <n v="18"/>
    <n v="16"/>
    <n v="288"/>
    <n v="0.04"/>
    <n v="11.52"/>
    <x v="6"/>
  </r>
  <r>
    <x v="665"/>
    <x v="0"/>
    <x v="3"/>
    <x v="3"/>
    <n v="10"/>
    <n v="16"/>
    <n v="160"/>
    <n v="0.01"/>
    <n v="1.6"/>
    <x v="7"/>
  </r>
  <r>
    <x v="666"/>
    <x v="0"/>
    <x v="3"/>
    <x v="3"/>
    <n v="14"/>
    <n v="16"/>
    <n v="224"/>
    <n v="0.12"/>
    <n v="26.88"/>
    <x v="8"/>
  </r>
  <r>
    <x v="667"/>
    <x v="0"/>
    <x v="1"/>
    <x v="2"/>
    <n v="6"/>
    <n v="40"/>
    <n v="240"/>
    <n v="0.06"/>
    <n v="14.4"/>
    <x v="9"/>
  </r>
  <r>
    <x v="668"/>
    <x v="0"/>
    <x v="1"/>
    <x v="3"/>
    <n v="13"/>
    <n v="40"/>
    <n v="520"/>
    <n v="0.09"/>
    <n v="46.8"/>
    <x v="6"/>
  </r>
  <r>
    <x v="669"/>
    <x v="0"/>
    <x v="3"/>
    <x v="3"/>
    <n v="10"/>
    <n v="16"/>
    <n v="160"/>
    <n v="0.04"/>
    <n v="6.4"/>
    <x v="7"/>
  </r>
  <r>
    <x v="670"/>
    <x v="0"/>
    <x v="0"/>
    <x v="1"/>
    <n v="14"/>
    <n v="80"/>
    <n v="1120"/>
    <n v="0.11"/>
    <n v="123.2"/>
    <x v="8"/>
  </r>
  <r>
    <x v="671"/>
    <x v="0"/>
    <x v="1"/>
    <x v="1"/>
    <n v="4"/>
    <n v="40"/>
    <n v="160"/>
    <n v="0.06"/>
    <n v="9.6"/>
    <x v="9"/>
  </r>
  <r>
    <x v="672"/>
    <x v="0"/>
    <x v="1"/>
    <x v="2"/>
    <n v="11"/>
    <n v="40"/>
    <n v="440"/>
    <n v="0.05"/>
    <n v="22"/>
    <x v="6"/>
  </r>
  <r>
    <x v="673"/>
    <x v="0"/>
    <x v="3"/>
    <x v="2"/>
    <n v="14"/>
    <n v="16"/>
    <n v="224"/>
    <n v="0.01"/>
    <n v="2.2400000000000002"/>
    <x v="7"/>
  </r>
  <r>
    <x v="674"/>
    <x v="0"/>
    <x v="4"/>
    <x v="0"/>
    <n v="20"/>
    <n v="150"/>
    <n v="3000"/>
    <n v="0.04"/>
    <n v="120"/>
    <x v="8"/>
  </r>
  <r>
    <x v="675"/>
    <x v="0"/>
    <x v="1"/>
    <x v="3"/>
    <n v="9"/>
    <n v="40"/>
    <n v="360"/>
    <n v="0.06"/>
    <n v="21.6"/>
    <x v="9"/>
  </r>
  <r>
    <x v="676"/>
    <x v="0"/>
    <x v="4"/>
    <x v="2"/>
    <n v="18"/>
    <n v="150"/>
    <n v="2700"/>
    <n v="0.06"/>
    <n v="162"/>
    <x v="6"/>
  </r>
  <r>
    <x v="677"/>
    <x v="0"/>
    <x v="2"/>
    <x v="4"/>
    <n v="17"/>
    <n v="230"/>
    <n v="3910"/>
    <n v="0.11"/>
    <n v="430.1"/>
    <x v="7"/>
  </r>
  <r>
    <x v="678"/>
    <x v="1"/>
    <x v="1"/>
    <x v="0"/>
    <n v="20"/>
    <n v="40"/>
    <n v="800"/>
    <n v="0.04"/>
    <n v="32"/>
    <x v="8"/>
  </r>
  <r>
    <x v="679"/>
    <x v="1"/>
    <x v="1"/>
    <x v="0"/>
    <n v="23"/>
    <n v="40"/>
    <n v="920"/>
    <n v="0.03"/>
    <n v="27.6"/>
    <x v="9"/>
  </r>
  <r>
    <x v="680"/>
    <x v="1"/>
    <x v="2"/>
    <x v="4"/>
    <n v="21"/>
    <n v="230"/>
    <n v="4830"/>
    <n v="0.05"/>
    <n v="241.5"/>
    <x v="6"/>
  </r>
  <r>
    <x v="681"/>
    <x v="1"/>
    <x v="0"/>
    <x v="2"/>
    <n v="6"/>
    <n v="80"/>
    <n v="480"/>
    <n v="0.09"/>
    <n v="43.2"/>
    <x v="7"/>
  </r>
  <r>
    <x v="682"/>
    <x v="1"/>
    <x v="3"/>
    <x v="0"/>
    <n v="20"/>
    <n v="16"/>
    <n v="320"/>
    <n v="0.01"/>
    <n v="3.2"/>
    <x v="8"/>
  </r>
  <r>
    <x v="683"/>
    <x v="1"/>
    <x v="1"/>
    <x v="1"/>
    <n v="8"/>
    <n v="40"/>
    <n v="320"/>
    <n v="0.09"/>
    <n v="28.8"/>
    <x v="9"/>
  </r>
  <r>
    <x v="684"/>
    <x v="1"/>
    <x v="2"/>
    <x v="1"/>
    <n v="15"/>
    <n v="230"/>
    <n v="3450"/>
    <n v="0.09"/>
    <n v="310.5"/>
    <x v="6"/>
  </r>
  <r>
    <x v="685"/>
    <x v="2"/>
    <x v="0"/>
    <x v="3"/>
    <n v="21"/>
    <n v="80"/>
    <n v="1680"/>
    <n v="0.02"/>
    <n v="33.6"/>
    <x v="7"/>
  </r>
  <r>
    <x v="686"/>
    <x v="2"/>
    <x v="0"/>
    <x v="3"/>
    <n v="19"/>
    <n v="80"/>
    <n v="1520"/>
    <n v="0.02"/>
    <n v="30.4"/>
    <x v="8"/>
  </r>
  <r>
    <x v="687"/>
    <x v="2"/>
    <x v="3"/>
    <x v="0"/>
    <n v="7"/>
    <n v="16"/>
    <n v="112"/>
    <n v="0.08"/>
    <n v="8.9600000000000009"/>
    <x v="9"/>
  </r>
  <r>
    <x v="688"/>
    <x v="2"/>
    <x v="1"/>
    <x v="4"/>
    <n v="11"/>
    <n v="40"/>
    <n v="440"/>
    <n v="0.05"/>
    <n v="22"/>
    <x v="6"/>
  </r>
  <r>
    <x v="689"/>
    <x v="2"/>
    <x v="2"/>
    <x v="3"/>
    <n v="8"/>
    <n v="230"/>
    <n v="1840"/>
    <n v="0.05"/>
    <n v="92"/>
    <x v="7"/>
  </r>
  <r>
    <x v="690"/>
    <x v="2"/>
    <x v="0"/>
    <x v="0"/>
    <n v="18"/>
    <n v="80"/>
    <n v="1440"/>
    <n v="0.02"/>
    <n v="28.8"/>
    <x v="8"/>
  </r>
  <r>
    <x v="691"/>
    <x v="2"/>
    <x v="1"/>
    <x v="0"/>
    <n v="7"/>
    <n v="40"/>
    <n v="280"/>
    <n v="0.1"/>
    <n v="28"/>
    <x v="9"/>
  </r>
  <r>
    <x v="692"/>
    <x v="3"/>
    <x v="3"/>
    <x v="0"/>
    <n v="16"/>
    <n v="16"/>
    <n v="256"/>
    <n v="0.03"/>
    <n v="7.68"/>
    <x v="6"/>
  </r>
  <r>
    <x v="693"/>
    <x v="3"/>
    <x v="0"/>
    <x v="0"/>
    <n v="8"/>
    <n v="80"/>
    <n v="640"/>
    <n v="0.08"/>
    <n v="51.2"/>
    <x v="7"/>
  </r>
  <r>
    <x v="694"/>
    <x v="3"/>
    <x v="2"/>
    <x v="4"/>
    <n v="22"/>
    <n v="230"/>
    <n v="5060"/>
    <n v="0.1"/>
    <n v="506"/>
    <x v="8"/>
  </r>
  <r>
    <x v="695"/>
    <x v="3"/>
    <x v="2"/>
    <x v="4"/>
    <n v="3"/>
    <n v="230"/>
    <n v="690"/>
    <n v="0.1"/>
    <n v="69"/>
    <x v="9"/>
  </r>
  <r>
    <x v="696"/>
    <x v="3"/>
    <x v="2"/>
    <x v="4"/>
    <n v="20"/>
    <n v="230"/>
    <n v="4600"/>
    <n v="0.11"/>
    <n v="506"/>
    <x v="6"/>
  </r>
  <r>
    <x v="697"/>
    <x v="3"/>
    <x v="3"/>
    <x v="2"/>
    <n v="12"/>
    <n v="16"/>
    <n v="192"/>
    <n v="0.03"/>
    <n v="5.76"/>
    <x v="7"/>
  </r>
  <r>
    <x v="698"/>
    <x v="3"/>
    <x v="1"/>
    <x v="4"/>
    <n v="20"/>
    <n v="40"/>
    <n v="800"/>
    <n v="7.0000000000000007E-2"/>
    <n v="56"/>
    <x v="8"/>
  </r>
  <r>
    <x v="699"/>
    <x v="3"/>
    <x v="2"/>
    <x v="0"/>
    <n v="3"/>
    <n v="230"/>
    <n v="690"/>
    <n v="0.06"/>
    <n v="41.4"/>
    <x v="9"/>
  </r>
  <r>
    <x v="700"/>
    <x v="3"/>
    <x v="0"/>
    <x v="3"/>
    <n v="16"/>
    <n v="80"/>
    <n v="1280"/>
    <n v="7.0000000000000007E-2"/>
    <n v="89.6"/>
    <x v="6"/>
  </r>
  <r>
    <x v="701"/>
    <x v="4"/>
    <x v="1"/>
    <x v="4"/>
    <n v="3"/>
    <n v="40"/>
    <n v="120"/>
    <n v="0.03"/>
    <n v="3.6"/>
    <x v="7"/>
  </r>
  <r>
    <x v="702"/>
    <x v="4"/>
    <x v="2"/>
    <x v="2"/>
    <n v="12"/>
    <n v="230"/>
    <n v="2760"/>
    <n v="0.03"/>
    <n v="82.8"/>
    <x v="8"/>
  </r>
  <r>
    <x v="703"/>
    <x v="4"/>
    <x v="1"/>
    <x v="3"/>
    <n v="22"/>
    <n v="40"/>
    <n v="880"/>
    <n v="0.01"/>
    <n v="8.8000000000000007"/>
    <x v="9"/>
  </r>
  <r>
    <x v="704"/>
    <x v="4"/>
    <x v="1"/>
    <x v="1"/>
    <n v="19"/>
    <n v="40"/>
    <n v="760"/>
    <n v="0.1"/>
    <n v="76"/>
    <x v="6"/>
  </r>
  <r>
    <x v="705"/>
    <x v="4"/>
    <x v="0"/>
    <x v="1"/>
    <n v="21"/>
    <n v="80"/>
    <n v="1680"/>
    <n v="0.04"/>
    <n v="67.2"/>
    <x v="7"/>
  </r>
  <r>
    <x v="706"/>
    <x v="4"/>
    <x v="0"/>
    <x v="1"/>
    <n v="2"/>
    <n v="80"/>
    <n v="160"/>
    <n v="0.04"/>
    <n v="6.4"/>
    <x v="8"/>
  </r>
  <r>
    <x v="707"/>
    <x v="4"/>
    <x v="4"/>
    <x v="1"/>
    <n v="15"/>
    <n v="150"/>
    <n v="2250"/>
    <n v="0.02"/>
    <n v="45"/>
    <x v="9"/>
  </r>
  <r>
    <x v="708"/>
    <x v="5"/>
    <x v="1"/>
    <x v="1"/>
    <n v="14"/>
    <n v="40"/>
    <n v="560"/>
    <n v="0.06"/>
    <n v="33.6"/>
    <x v="6"/>
  </r>
  <r>
    <x v="709"/>
    <x v="5"/>
    <x v="0"/>
    <x v="3"/>
    <n v="7"/>
    <n v="80"/>
    <n v="560"/>
    <n v="7.0000000000000007E-2"/>
    <n v="39.200000000000003"/>
    <x v="7"/>
  </r>
  <r>
    <x v="710"/>
    <x v="5"/>
    <x v="0"/>
    <x v="2"/>
    <n v="7"/>
    <n v="80"/>
    <n v="560"/>
    <n v="0.05"/>
    <n v="28"/>
    <x v="8"/>
  </r>
  <r>
    <x v="711"/>
    <x v="5"/>
    <x v="4"/>
    <x v="1"/>
    <n v="10"/>
    <n v="150"/>
    <n v="1500"/>
    <n v="0.01"/>
    <n v="15"/>
    <x v="9"/>
  </r>
  <r>
    <x v="712"/>
    <x v="5"/>
    <x v="0"/>
    <x v="2"/>
    <n v="10"/>
    <n v="80"/>
    <n v="800"/>
    <n v="0.08"/>
    <n v="64"/>
    <x v="6"/>
  </r>
  <r>
    <x v="713"/>
    <x v="5"/>
    <x v="0"/>
    <x v="3"/>
    <n v="15"/>
    <n v="80"/>
    <n v="1200"/>
    <n v="0.08"/>
    <n v="96"/>
    <x v="7"/>
  </r>
  <r>
    <x v="714"/>
    <x v="5"/>
    <x v="2"/>
    <x v="3"/>
    <n v="18"/>
    <n v="230"/>
    <n v="4140"/>
    <n v="0.01"/>
    <n v="41.4"/>
    <x v="8"/>
  </r>
  <r>
    <x v="715"/>
    <x v="5"/>
    <x v="0"/>
    <x v="0"/>
    <n v="8"/>
    <n v="80"/>
    <n v="640"/>
    <n v="0.09"/>
    <n v="57.6"/>
    <x v="9"/>
  </r>
  <r>
    <x v="716"/>
    <x v="5"/>
    <x v="3"/>
    <x v="2"/>
    <n v="6"/>
    <n v="16"/>
    <n v="96"/>
    <n v="0.01"/>
    <n v="0.96"/>
    <x v="6"/>
  </r>
  <r>
    <x v="717"/>
    <x v="5"/>
    <x v="2"/>
    <x v="1"/>
    <n v="9"/>
    <n v="230"/>
    <n v="2070"/>
    <n v="0.03"/>
    <n v="62.1"/>
    <x v="7"/>
  </r>
  <r>
    <x v="718"/>
    <x v="6"/>
    <x v="1"/>
    <x v="3"/>
    <n v="15"/>
    <n v="40"/>
    <n v="600"/>
    <n v="0.03"/>
    <n v="18"/>
    <x v="8"/>
  </r>
  <r>
    <x v="719"/>
    <x v="6"/>
    <x v="1"/>
    <x v="1"/>
    <n v="15"/>
    <n v="40"/>
    <n v="600"/>
    <n v="0.04"/>
    <n v="24"/>
    <x v="9"/>
  </r>
  <r>
    <x v="720"/>
    <x v="6"/>
    <x v="3"/>
    <x v="4"/>
    <n v="11"/>
    <n v="16"/>
    <n v="176"/>
    <n v="0.12"/>
    <n v="21.12"/>
    <x v="6"/>
  </r>
  <r>
    <x v="721"/>
    <x v="6"/>
    <x v="3"/>
    <x v="0"/>
    <n v="12"/>
    <n v="16"/>
    <n v="192"/>
    <n v="0.11"/>
    <n v="21.12"/>
    <x v="2"/>
  </r>
  <r>
    <x v="722"/>
    <x v="6"/>
    <x v="3"/>
    <x v="3"/>
    <n v="18"/>
    <n v="16"/>
    <n v="288"/>
    <n v="0.04"/>
    <n v="11.52"/>
    <x v="8"/>
  </r>
  <r>
    <x v="723"/>
    <x v="6"/>
    <x v="1"/>
    <x v="2"/>
    <n v="20"/>
    <n v="40"/>
    <n v="800"/>
    <n v="0.01"/>
    <n v="8"/>
    <x v="2"/>
  </r>
  <r>
    <x v="724"/>
    <x v="6"/>
    <x v="4"/>
    <x v="4"/>
    <n v="7"/>
    <n v="150"/>
    <n v="1050"/>
    <n v="0.03"/>
    <n v="31.5"/>
    <x v="8"/>
  </r>
  <r>
    <x v="725"/>
    <x v="6"/>
    <x v="1"/>
    <x v="3"/>
    <n v="23"/>
    <n v="40"/>
    <n v="920"/>
    <n v="0.06"/>
    <n v="55.2"/>
    <x v="2"/>
  </r>
  <r>
    <x v="726"/>
    <x v="6"/>
    <x v="0"/>
    <x v="0"/>
    <n v="7"/>
    <n v="80"/>
    <n v="560"/>
    <n v="0.02"/>
    <n v="11.2"/>
    <x v="8"/>
  </r>
  <r>
    <x v="727"/>
    <x v="6"/>
    <x v="4"/>
    <x v="1"/>
    <n v="16"/>
    <n v="150"/>
    <n v="2400"/>
    <n v="0.05"/>
    <n v="120"/>
    <x v="2"/>
  </r>
  <r>
    <x v="728"/>
    <x v="6"/>
    <x v="2"/>
    <x v="1"/>
    <n v="6"/>
    <n v="230"/>
    <n v="1380"/>
    <n v="0.1"/>
    <n v="138"/>
    <x v="8"/>
  </r>
  <r>
    <x v="729"/>
    <x v="7"/>
    <x v="1"/>
    <x v="4"/>
    <n v="7"/>
    <n v="40"/>
    <n v="280"/>
    <n v="0.12"/>
    <n v="33.6"/>
    <x v="2"/>
  </r>
  <r>
    <x v="730"/>
    <x v="7"/>
    <x v="0"/>
    <x v="2"/>
    <n v="23"/>
    <n v="80"/>
    <n v="1840"/>
    <n v="0.05"/>
    <n v="92"/>
    <x v="8"/>
  </r>
  <r>
    <x v="731"/>
    <x v="7"/>
    <x v="0"/>
    <x v="3"/>
    <n v="16"/>
    <n v="80"/>
    <n v="1280"/>
    <n v="0.1"/>
    <n v="128"/>
    <x v="2"/>
  </r>
  <r>
    <x v="732"/>
    <x v="7"/>
    <x v="0"/>
    <x v="0"/>
    <n v="16"/>
    <n v="80"/>
    <n v="1280"/>
    <n v="0.03"/>
    <n v="38.4"/>
    <x v="8"/>
  </r>
  <r>
    <x v="733"/>
    <x v="7"/>
    <x v="0"/>
    <x v="4"/>
    <n v="22"/>
    <n v="80"/>
    <n v="1760"/>
    <n v="0.09"/>
    <n v="158.4"/>
    <x v="2"/>
  </r>
  <r>
    <x v="734"/>
    <x v="7"/>
    <x v="3"/>
    <x v="0"/>
    <n v="18"/>
    <n v="16"/>
    <n v="288"/>
    <n v="0.05"/>
    <n v="14.4"/>
    <x v="8"/>
  </r>
  <r>
    <x v="735"/>
    <x v="7"/>
    <x v="2"/>
    <x v="4"/>
    <n v="5"/>
    <n v="230"/>
    <n v="1150"/>
    <n v="0.12"/>
    <n v="138"/>
    <x v="2"/>
  </r>
  <r>
    <x v="736"/>
    <x v="7"/>
    <x v="4"/>
    <x v="4"/>
    <n v="7"/>
    <n v="150"/>
    <n v="1050"/>
    <n v="0.02"/>
    <n v="21"/>
    <x v="8"/>
  </r>
  <r>
    <x v="737"/>
    <x v="7"/>
    <x v="1"/>
    <x v="2"/>
    <n v="2"/>
    <n v="40"/>
    <n v="80"/>
    <n v="0.03"/>
    <n v="2.4"/>
    <x v="2"/>
  </r>
  <r>
    <x v="738"/>
    <x v="7"/>
    <x v="1"/>
    <x v="3"/>
    <n v="11"/>
    <n v="40"/>
    <n v="440"/>
    <n v="0.06"/>
    <n v="26.4"/>
    <x v="8"/>
  </r>
  <r>
    <x v="739"/>
    <x v="7"/>
    <x v="0"/>
    <x v="3"/>
    <n v="7"/>
    <n v="80"/>
    <n v="560"/>
    <n v="0.02"/>
    <n v="11.2"/>
    <x v="2"/>
  </r>
  <r>
    <x v="740"/>
    <x v="8"/>
    <x v="1"/>
    <x v="2"/>
    <n v="4"/>
    <n v="40"/>
    <n v="160"/>
    <n v="0.11"/>
    <n v="17.600000000000001"/>
    <x v="8"/>
  </r>
  <r>
    <x v="741"/>
    <x v="8"/>
    <x v="1"/>
    <x v="2"/>
    <n v="2"/>
    <n v="40"/>
    <n v="80"/>
    <n v="0.02"/>
    <n v="1.6"/>
    <x v="2"/>
  </r>
  <r>
    <x v="742"/>
    <x v="8"/>
    <x v="2"/>
    <x v="3"/>
    <n v="23"/>
    <n v="230"/>
    <n v="5290"/>
    <n v="0.06"/>
    <n v="317.39999999999998"/>
    <x v="8"/>
  </r>
  <r>
    <x v="743"/>
    <x v="8"/>
    <x v="0"/>
    <x v="4"/>
    <n v="21"/>
    <n v="80"/>
    <n v="1680"/>
    <n v="0.09"/>
    <n v="151.19999999999999"/>
    <x v="2"/>
  </r>
  <r>
    <x v="744"/>
    <x v="8"/>
    <x v="0"/>
    <x v="4"/>
    <n v="9"/>
    <n v="80"/>
    <n v="720"/>
    <n v="0.06"/>
    <n v="43.2"/>
    <x v="8"/>
  </r>
  <r>
    <x v="745"/>
    <x v="8"/>
    <x v="0"/>
    <x v="4"/>
    <n v="22"/>
    <n v="80"/>
    <n v="1760"/>
    <n v="0.11"/>
    <n v="193.6"/>
    <x v="2"/>
  </r>
  <r>
    <x v="746"/>
    <x v="9"/>
    <x v="2"/>
    <x v="2"/>
    <n v="15"/>
    <n v="230"/>
    <n v="3450"/>
    <n v="0.11"/>
    <n v="379.5"/>
    <x v="8"/>
  </r>
  <r>
    <x v="747"/>
    <x v="9"/>
    <x v="1"/>
    <x v="1"/>
    <n v="7"/>
    <n v="40"/>
    <n v="280"/>
    <n v="0.01"/>
    <n v="2.8"/>
    <x v="2"/>
  </r>
  <r>
    <x v="748"/>
    <x v="9"/>
    <x v="4"/>
    <x v="4"/>
    <n v="17"/>
    <n v="150"/>
    <n v="2550"/>
    <n v="0.02"/>
    <n v="51"/>
    <x v="8"/>
  </r>
  <r>
    <x v="749"/>
    <x v="9"/>
    <x v="4"/>
    <x v="1"/>
    <n v="22"/>
    <n v="150"/>
    <n v="3300"/>
    <n v="0.02"/>
    <n v="66"/>
    <x v="2"/>
  </r>
  <r>
    <x v="750"/>
    <x v="9"/>
    <x v="2"/>
    <x v="2"/>
    <n v="10"/>
    <n v="230"/>
    <n v="2300"/>
    <n v="0.02"/>
    <n v="46"/>
    <x v="8"/>
  </r>
  <r>
    <x v="751"/>
    <x v="9"/>
    <x v="1"/>
    <x v="4"/>
    <n v="21"/>
    <n v="40"/>
    <n v="840"/>
    <n v="0.01"/>
    <n v="8.4"/>
    <x v="2"/>
  </r>
  <r>
    <x v="752"/>
    <x v="9"/>
    <x v="2"/>
    <x v="2"/>
    <n v="5"/>
    <n v="230"/>
    <n v="1150"/>
    <n v="0.1"/>
    <n v="115"/>
    <x v="8"/>
  </r>
  <r>
    <x v="753"/>
    <x v="9"/>
    <x v="2"/>
    <x v="4"/>
    <n v="13"/>
    <n v="230"/>
    <n v="2990"/>
    <n v="0.06"/>
    <n v="179.4"/>
    <x v="2"/>
  </r>
  <r>
    <x v="754"/>
    <x v="9"/>
    <x v="4"/>
    <x v="0"/>
    <n v="23"/>
    <n v="150"/>
    <n v="3450"/>
    <n v="0.1"/>
    <n v="345"/>
    <x v="8"/>
  </r>
  <r>
    <x v="755"/>
    <x v="9"/>
    <x v="4"/>
    <x v="0"/>
    <n v="20"/>
    <n v="150"/>
    <n v="3000"/>
    <n v="0.03"/>
    <n v="90"/>
    <x v="2"/>
  </r>
  <r>
    <x v="756"/>
    <x v="10"/>
    <x v="2"/>
    <x v="0"/>
    <n v="3"/>
    <n v="230"/>
    <n v="690"/>
    <n v="0.11"/>
    <n v="75.900000000000006"/>
    <x v="8"/>
  </r>
  <r>
    <x v="757"/>
    <x v="10"/>
    <x v="4"/>
    <x v="1"/>
    <n v="16"/>
    <n v="150"/>
    <n v="2400"/>
    <n v="0.08"/>
    <n v="192"/>
    <x v="2"/>
  </r>
  <r>
    <x v="758"/>
    <x v="10"/>
    <x v="3"/>
    <x v="4"/>
    <n v="14"/>
    <n v="16"/>
    <n v="224"/>
    <n v="0.06"/>
    <n v="13.44"/>
    <x v="8"/>
  </r>
  <r>
    <x v="759"/>
    <x v="10"/>
    <x v="4"/>
    <x v="1"/>
    <n v="16"/>
    <n v="150"/>
    <n v="2400"/>
    <n v="0.03"/>
    <n v="72"/>
    <x v="2"/>
  </r>
  <r>
    <x v="760"/>
    <x v="10"/>
    <x v="3"/>
    <x v="4"/>
    <n v="19"/>
    <n v="16"/>
    <n v="304"/>
    <n v="0.02"/>
    <n v="6.08"/>
    <x v="8"/>
  </r>
  <r>
    <x v="761"/>
    <x v="10"/>
    <x v="0"/>
    <x v="4"/>
    <n v="6"/>
    <n v="80"/>
    <n v="480"/>
    <n v="0.09"/>
    <n v="43.2"/>
    <x v="2"/>
  </r>
  <r>
    <x v="762"/>
    <x v="10"/>
    <x v="0"/>
    <x v="4"/>
    <n v="9"/>
    <n v="80"/>
    <n v="720"/>
    <n v="7.0000000000000007E-2"/>
    <n v="50.4"/>
    <x v="8"/>
  </r>
  <r>
    <x v="763"/>
    <x v="10"/>
    <x v="4"/>
    <x v="1"/>
    <n v="20"/>
    <n v="150"/>
    <n v="3000"/>
    <n v="0.09"/>
    <n v="270"/>
    <x v="2"/>
  </r>
  <r>
    <x v="764"/>
    <x v="10"/>
    <x v="0"/>
    <x v="2"/>
    <n v="10"/>
    <n v="80"/>
    <n v="800"/>
    <n v="0.11"/>
    <n v="88"/>
    <x v="8"/>
  </r>
  <r>
    <x v="765"/>
    <x v="10"/>
    <x v="3"/>
    <x v="0"/>
    <n v="4"/>
    <n v="16"/>
    <n v="64"/>
    <n v="0.12"/>
    <n v="7.68"/>
    <x v="2"/>
  </r>
  <r>
    <x v="766"/>
    <x v="10"/>
    <x v="1"/>
    <x v="4"/>
    <n v="16"/>
    <n v="40"/>
    <n v="640"/>
    <n v="0.11"/>
    <n v="70.400000000000006"/>
    <x v="8"/>
  </r>
  <r>
    <x v="767"/>
    <x v="11"/>
    <x v="0"/>
    <x v="1"/>
    <n v="5"/>
    <n v="80"/>
    <n v="400"/>
    <n v="0.04"/>
    <n v="16"/>
    <x v="2"/>
  </r>
  <r>
    <x v="768"/>
    <x v="11"/>
    <x v="3"/>
    <x v="2"/>
    <n v="11"/>
    <n v="16"/>
    <n v="176"/>
    <n v="0.04"/>
    <n v="7.04"/>
    <x v="8"/>
  </r>
  <r>
    <x v="769"/>
    <x v="11"/>
    <x v="4"/>
    <x v="0"/>
    <n v="17"/>
    <n v="150"/>
    <n v="2550"/>
    <n v="0.12"/>
    <n v="306"/>
    <x v="2"/>
  </r>
  <r>
    <x v="770"/>
    <x v="11"/>
    <x v="2"/>
    <x v="1"/>
    <n v="19"/>
    <n v="230"/>
    <n v="4370"/>
    <n v="0.11"/>
    <n v="480.7"/>
    <x v="8"/>
  </r>
  <r>
    <x v="771"/>
    <x v="11"/>
    <x v="0"/>
    <x v="0"/>
    <n v="21"/>
    <n v="80"/>
    <n v="1680"/>
    <n v="0.04"/>
    <n v="67.2"/>
    <x v="2"/>
  </r>
  <r>
    <x v="772"/>
    <x v="11"/>
    <x v="2"/>
    <x v="1"/>
    <n v="7"/>
    <n v="230"/>
    <n v="1610"/>
    <n v="0.01"/>
    <n v="16.100000000000001"/>
    <x v="8"/>
  </r>
  <r>
    <x v="773"/>
    <x v="11"/>
    <x v="1"/>
    <x v="2"/>
    <n v="2"/>
    <n v="40"/>
    <n v="80"/>
    <n v="0.03"/>
    <n v="2.4"/>
    <x v="2"/>
  </r>
  <r>
    <x v="774"/>
    <x v="11"/>
    <x v="4"/>
    <x v="0"/>
    <n v="7"/>
    <n v="150"/>
    <n v="1050"/>
    <n v="0.02"/>
    <n v="21"/>
    <x v="8"/>
  </r>
  <r>
    <x v="775"/>
    <x v="12"/>
    <x v="0"/>
    <x v="2"/>
    <n v="16"/>
    <n v="80"/>
    <n v="1280"/>
    <n v="0.04"/>
    <n v="51.2"/>
    <x v="2"/>
  </r>
  <r>
    <x v="776"/>
    <x v="12"/>
    <x v="1"/>
    <x v="1"/>
    <n v="4"/>
    <n v="40"/>
    <n v="160"/>
    <n v="0.12"/>
    <n v="19.2"/>
    <x v="8"/>
  </r>
  <r>
    <x v="777"/>
    <x v="12"/>
    <x v="3"/>
    <x v="0"/>
    <n v="22"/>
    <n v="16"/>
    <n v="352"/>
    <n v="0.01"/>
    <n v="3.52"/>
    <x v="2"/>
  </r>
  <r>
    <x v="778"/>
    <x v="12"/>
    <x v="1"/>
    <x v="3"/>
    <n v="18"/>
    <n v="40"/>
    <n v="720"/>
    <n v="0.06"/>
    <n v="43.2"/>
    <x v="8"/>
  </r>
  <r>
    <x v="779"/>
    <x v="12"/>
    <x v="0"/>
    <x v="2"/>
    <n v="6"/>
    <n v="80"/>
    <n v="480"/>
    <n v="0.01"/>
    <n v="4.8"/>
    <x v="2"/>
  </r>
  <r>
    <x v="780"/>
    <x v="12"/>
    <x v="2"/>
    <x v="2"/>
    <n v="2"/>
    <n v="230"/>
    <n v="460"/>
    <n v="0.09"/>
    <n v="41.4"/>
    <x v="8"/>
  </r>
  <r>
    <x v="781"/>
    <x v="13"/>
    <x v="4"/>
    <x v="4"/>
    <n v="11"/>
    <n v="150"/>
    <n v="1650"/>
    <n v="0.09"/>
    <n v="148.5"/>
    <x v="2"/>
  </r>
  <r>
    <x v="782"/>
    <x v="13"/>
    <x v="4"/>
    <x v="3"/>
    <n v="15"/>
    <n v="150"/>
    <n v="2250"/>
    <n v="0.08"/>
    <n v="180"/>
    <x v="8"/>
  </r>
  <r>
    <x v="783"/>
    <x v="13"/>
    <x v="0"/>
    <x v="0"/>
    <n v="17"/>
    <n v="80"/>
    <n v="1360"/>
    <n v="0.09"/>
    <n v="122.4"/>
    <x v="2"/>
  </r>
  <r>
    <x v="784"/>
    <x v="13"/>
    <x v="4"/>
    <x v="4"/>
    <n v="13"/>
    <n v="150"/>
    <n v="1950"/>
    <n v="0.11"/>
    <n v="214.5"/>
    <x v="8"/>
  </r>
  <r>
    <x v="785"/>
    <x v="13"/>
    <x v="1"/>
    <x v="3"/>
    <n v="7"/>
    <n v="40"/>
    <n v="280"/>
    <n v="7.0000000000000007E-2"/>
    <n v="19.600000000000001"/>
    <x v="2"/>
  </r>
  <r>
    <x v="786"/>
    <x v="13"/>
    <x v="2"/>
    <x v="3"/>
    <n v="3"/>
    <n v="230"/>
    <n v="690"/>
    <n v="0.01"/>
    <n v="6.9"/>
    <x v="8"/>
  </r>
  <r>
    <x v="787"/>
    <x v="13"/>
    <x v="1"/>
    <x v="2"/>
    <n v="12"/>
    <n v="40"/>
    <n v="480"/>
    <n v="0.02"/>
    <n v="9.6"/>
    <x v="2"/>
  </r>
  <r>
    <x v="788"/>
    <x v="13"/>
    <x v="4"/>
    <x v="2"/>
    <n v="11"/>
    <n v="150"/>
    <n v="1650"/>
    <n v="0.11"/>
    <n v="181.5"/>
    <x v="8"/>
  </r>
  <r>
    <x v="789"/>
    <x v="13"/>
    <x v="1"/>
    <x v="1"/>
    <n v="21"/>
    <n v="40"/>
    <n v="840"/>
    <n v="0.03"/>
    <n v="25.2"/>
    <x v="2"/>
  </r>
  <r>
    <x v="790"/>
    <x v="13"/>
    <x v="4"/>
    <x v="0"/>
    <n v="22"/>
    <n v="150"/>
    <n v="3300"/>
    <n v="7.0000000000000007E-2"/>
    <n v="231"/>
    <x v="8"/>
  </r>
  <r>
    <x v="791"/>
    <x v="13"/>
    <x v="1"/>
    <x v="2"/>
    <n v="20"/>
    <n v="40"/>
    <n v="800"/>
    <n v="0.01"/>
    <n v="8"/>
    <x v="2"/>
  </r>
  <r>
    <x v="792"/>
    <x v="14"/>
    <x v="3"/>
    <x v="4"/>
    <n v="22"/>
    <n v="16"/>
    <n v="352"/>
    <n v="0.12"/>
    <n v="42.24"/>
    <x v="8"/>
  </r>
  <r>
    <x v="793"/>
    <x v="14"/>
    <x v="1"/>
    <x v="2"/>
    <n v="4"/>
    <n v="40"/>
    <n v="160"/>
    <n v="0.1"/>
    <n v="16"/>
    <x v="2"/>
  </r>
  <r>
    <x v="794"/>
    <x v="14"/>
    <x v="2"/>
    <x v="3"/>
    <n v="2"/>
    <n v="230"/>
    <n v="460"/>
    <n v="0.09"/>
    <n v="41.4"/>
    <x v="8"/>
  </r>
  <r>
    <x v="795"/>
    <x v="14"/>
    <x v="1"/>
    <x v="0"/>
    <n v="22"/>
    <n v="40"/>
    <n v="880"/>
    <n v="0.02"/>
    <n v="17.600000000000001"/>
    <x v="2"/>
  </r>
  <r>
    <x v="796"/>
    <x v="14"/>
    <x v="1"/>
    <x v="1"/>
    <n v="4"/>
    <n v="40"/>
    <n v="160"/>
    <n v="0.03"/>
    <n v="4.8"/>
    <x v="8"/>
  </r>
  <r>
    <x v="797"/>
    <x v="14"/>
    <x v="3"/>
    <x v="1"/>
    <n v="5"/>
    <n v="16"/>
    <n v="80"/>
    <n v="0.11"/>
    <n v="8.8000000000000007"/>
    <x v="2"/>
  </r>
  <r>
    <x v="798"/>
    <x v="14"/>
    <x v="0"/>
    <x v="3"/>
    <n v="2"/>
    <n v="80"/>
    <n v="160"/>
    <n v="0.08"/>
    <n v="12.8"/>
    <x v="8"/>
  </r>
  <r>
    <x v="799"/>
    <x v="14"/>
    <x v="3"/>
    <x v="2"/>
    <n v="9"/>
    <n v="16"/>
    <n v="144"/>
    <n v="0.05"/>
    <n v="7.2"/>
    <x v="2"/>
  </r>
  <r>
    <x v="800"/>
    <x v="14"/>
    <x v="2"/>
    <x v="2"/>
    <n v="6"/>
    <n v="230"/>
    <n v="1380"/>
    <n v="0.05"/>
    <n v="69"/>
    <x v="8"/>
  </r>
  <r>
    <x v="801"/>
    <x v="14"/>
    <x v="4"/>
    <x v="3"/>
    <n v="22"/>
    <n v="150"/>
    <n v="3300"/>
    <n v="0.05"/>
    <n v="165"/>
    <x v="2"/>
  </r>
  <r>
    <x v="802"/>
    <x v="15"/>
    <x v="2"/>
    <x v="3"/>
    <n v="8"/>
    <n v="230"/>
    <n v="1840"/>
    <n v="0.01"/>
    <n v="18.399999999999999"/>
    <x v="8"/>
  </r>
  <r>
    <x v="803"/>
    <x v="15"/>
    <x v="4"/>
    <x v="0"/>
    <n v="22"/>
    <n v="150"/>
    <n v="3300"/>
    <n v="0.05"/>
    <n v="165"/>
    <x v="2"/>
  </r>
  <r>
    <x v="804"/>
    <x v="15"/>
    <x v="1"/>
    <x v="0"/>
    <n v="5"/>
    <n v="40"/>
    <n v="200"/>
    <n v="0.06"/>
    <n v="12"/>
    <x v="8"/>
  </r>
  <r>
    <x v="805"/>
    <x v="15"/>
    <x v="4"/>
    <x v="3"/>
    <n v="20"/>
    <n v="150"/>
    <n v="3000"/>
    <n v="0.1"/>
    <n v="300"/>
    <x v="2"/>
  </r>
  <r>
    <x v="806"/>
    <x v="15"/>
    <x v="0"/>
    <x v="3"/>
    <n v="22"/>
    <n v="80"/>
    <n v="1760"/>
    <n v="0.03"/>
    <n v="52.8"/>
    <x v="8"/>
  </r>
  <r>
    <x v="807"/>
    <x v="15"/>
    <x v="3"/>
    <x v="0"/>
    <n v="11"/>
    <n v="16"/>
    <n v="176"/>
    <n v="0.09"/>
    <n v="15.84"/>
    <x v="2"/>
  </r>
  <r>
    <x v="808"/>
    <x v="15"/>
    <x v="3"/>
    <x v="1"/>
    <n v="22"/>
    <n v="16"/>
    <n v="352"/>
    <n v="0.01"/>
    <n v="3.52"/>
    <x v="8"/>
  </r>
  <r>
    <x v="809"/>
    <x v="15"/>
    <x v="1"/>
    <x v="1"/>
    <n v="23"/>
    <n v="40"/>
    <n v="920"/>
    <n v="0.06"/>
    <n v="55.2"/>
    <x v="2"/>
  </r>
  <r>
    <x v="810"/>
    <x v="15"/>
    <x v="0"/>
    <x v="2"/>
    <n v="14"/>
    <n v="80"/>
    <n v="1120"/>
    <n v="0.1"/>
    <n v="112"/>
    <x v="8"/>
  </r>
  <r>
    <x v="811"/>
    <x v="15"/>
    <x v="1"/>
    <x v="0"/>
    <n v="18"/>
    <n v="40"/>
    <n v="720"/>
    <n v="0.06"/>
    <n v="43.2"/>
    <x v="2"/>
  </r>
  <r>
    <x v="812"/>
    <x v="16"/>
    <x v="4"/>
    <x v="3"/>
    <n v="7"/>
    <n v="150"/>
    <n v="1050"/>
    <n v="0.05"/>
    <n v="52.5"/>
    <x v="1"/>
  </r>
  <r>
    <x v="813"/>
    <x v="16"/>
    <x v="1"/>
    <x v="3"/>
    <n v="15"/>
    <n v="40"/>
    <n v="600"/>
    <n v="0.03"/>
    <n v="18"/>
    <x v="2"/>
  </r>
  <r>
    <x v="814"/>
    <x v="16"/>
    <x v="3"/>
    <x v="0"/>
    <n v="7"/>
    <n v="16"/>
    <n v="112"/>
    <n v="0.02"/>
    <n v="2.2400000000000002"/>
    <x v="3"/>
  </r>
  <r>
    <x v="815"/>
    <x v="16"/>
    <x v="3"/>
    <x v="3"/>
    <n v="15"/>
    <n v="16"/>
    <n v="240"/>
    <n v="0.12"/>
    <n v="28.8"/>
    <x v="4"/>
  </r>
  <r>
    <x v="816"/>
    <x v="16"/>
    <x v="1"/>
    <x v="0"/>
    <n v="5"/>
    <n v="40"/>
    <n v="200"/>
    <n v="0.09"/>
    <n v="18"/>
    <x v="5"/>
  </r>
  <r>
    <x v="817"/>
    <x v="16"/>
    <x v="1"/>
    <x v="4"/>
    <n v="20"/>
    <n v="40"/>
    <n v="800"/>
    <n v="0.03"/>
    <n v="24"/>
    <x v="6"/>
  </r>
  <r>
    <x v="818"/>
    <x v="16"/>
    <x v="2"/>
    <x v="3"/>
    <n v="11"/>
    <n v="230"/>
    <n v="2530"/>
    <n v="0.12"/>
    <n v="303.60000000000002"/>
    <x v="7"/>
  </r>
  <r>
    <x v="819"/>
    <x v="16"/>
    <x v="3"/>
    <x v="4"/>
    <n v="17"/>
    <n v="16"/>
    <n v="272"/>
    <n v="0.08"/>
    <n v="21.76"/>
    <x v="8"/>
  </r>
  <r>
    <x v="820"/>
    <x v="17"/>
    <x v="3"/>
    <x v="0"/>
    <n v="18"/>
    <n v="16"/>
    <n v="288"/>
    <n v="0.11"/>
    <n v="31.68"/>
    <x v="9"/>
  </r>
  <r>
    <x v="821"/>
    <x v="17"/>
    <x v="2"/>
    <x v="3"/>
    <n v="2"/>
    <n v="230"/>
    <n v="460"/>
    <n v="0.08"/>
    <n v="36.799999999999997"/>
    <x v="10"/>
  </r>
  <r>
    <x v="822"/>
    <x v="17"/>
    <x v="3"/>
    <x v="2"/>
    <n v="17"/>
    <n v="16"/>
    <n v="272"/>
    <n v="0.05"/>
    <n v="13.6"/>
    <x v="11"/>
  </r>
  <r>
    <x v="823"/>
    <x v="17"/>
    <x v="0"/>
    <x v="3"/>
    <n v="16"/>
    <n v="80"/>
    <n v="1280"/>
    <n v="0.05"/>
    <n v="64"/>
    <x v="0"/>
  </r>
  <r>
    <x v="824"/>
    <x v="17"/>
    <x v="2"/>
    <x v="1"/>
    <n v="14"/>
    <n v="230"/>
    <n v="3220"/>
    <n v="0.05"/>
    <n v="161"/>
    <x v="1"/>
  </r>
  <r>
    <x v="825"/>
    <x v="17"/>
    <x v="1"/>
    <x v="2"/>
    <n v="13"/>
    <n v="40"/>
    <n v="520"/>
    <n v="0.02"/>
    <n v="10.4"/>
    <x v="2"/>
  </r>
  <r>
    <x v="826"/>
    <x v="17"/>
    <x v="2"/>
    <x v="1"/>
    <n v="7"/>
    <n v="230"/>
    <n v="1610"/>
    <n v="0.08"/>
    <n v="128.80000000000001"/>
    <x v="3"/>
  </r>
  <r>
    <x v="827"/>
    <x v="17"/>
    <x v="1"/>
    <x v="3"/>
    <n v="7"/>
    <n v="40"/>
    <n v="280"/>
    <n v="0.11"/>
    <n v="30.8"/>
    <x v="4"/>
  </r>
  <r>
    <x v="828"/>
    <x v="17"/>
    <x v="2"/>
    <x v="2"/>
    <n v="12"/>
    <n v="230"/>
    <n v="2760"/>
    <n v="0.06"/>
    <n v="165.6"/>
    <x v="5"/>
  </r>
  <r>
    <x v="829"/>
    <x v="17"/>
    <x v="1"/>
    <x v="0"/>
    <n v="19"/>
    <n v="40"/>
    <n v="760"/>
    <n v="0.04"/>
    <n v="30.4"/>
    <x v="1"/>
  </r>
  <r>
    <x v="830"/>
    <x v="18"/>
    <x v="2"/>
    <x v="2"/>
    <n v="20"/>
    <n v="230"/>
    <n v="4600"/>
    <n v="0.06"/>
    <n v="276"/>
    <x v="2"/>
  </r>
  <r>
    <x v="831"/>
    <x v="18"/>
    <x v="1"/>
    <x v="4"/>
    <n v="23"/>
    <n v="40"/>
    <n v="920"/>
    <n v="0.04"/>
    <n v="36.799999999999997"/>
    <x v="3"/>
  </r>
  <r>
    <x v="832"/>
    <x v="18"/>
    <x v="0"/>
    <x v="4"/>
    <n v="16"/>
    <n v="80"/>
    <n v="1280"/>
    <n v="0.05"/>
    <n v="64"/>
    <x v="4"/>
  </r>
  <r>
    <x v="833"/>
    <x v="18"/>
    <x v="4"/>
    <x v="1"/>
    <n v="23"/>
    <n v="150"/>
    <n v="3450"/>
    <n v="0.11"/>
    <n v="379.5"/>
    <x v="5"/>
  </r>
  <r>
    <x v="834"/>
    <x v="18"/>
    <x v="3"/>
    <x v="1"/>
    <n v="4"/>
    <n v="16"/>
    <n v="64"/>
    <n v="7.0000000000000007E-2"/>
    <n v="4.4800000000000004"/>
    <x v="6"/>
  </r>
  <r>
    <x v="835"/>
    <x v="18"/>
    <x v="2"/>
    <x v="0"/>
    <n v="8"/>
    <n v="230"/>
    <n v="1840"/>
    <n v="0.03"/>
    <n v="55.2"/>
    <x v="7"/>
  </r>
  <r>
    <x v="836"/>
    <x v="18"/>
    <x v="0"/>
    <x v="1"/>
    <n v="17"/>
    <n v="80"/>
    <n v="1360"/>
    <n v="0.03"/>
    <n v="40.799999999999997"/>
    <x v="8"/>
  </r>
  <r>
    <x v="837"/>
    <x v="18"/>
    <x v="0"/>
    <x v="3"/>
    <n v="10"/>
    <n v="80"/>
    <n v="800"/>
    <n v="0.1"/>
    <n v="80"/>
    <x v="9"/>
  </r>
  <r>
    <x v="838"/>
    <x v="18"/>
    <x v="3"/>
    <x v="0"/>
    <n v="20"/>
    <n v="16"/>
    <n v="320"/>
    <n v="0.11"/>
    <n v="35.200000000000003"/>
    <x v="10"/>
  </r>
  <r>
    <x v="839"/>
    <x v="19"/>
    <x v="2"/>
    <x v="3"/>
    <n v="19"/>
    <n v="230"/>
    <n v="4370"/>
    <n v="0.06"/>
    <n v="262.2"/>
    <x v="11"/>
  </r>
  <r>
    <x v="840"/>
    <x v="19"/>
    <x v="1"/>
    <x v="2"/>
    <n v="18"/>
    <n v="40"/>
    <n v="720"/>
    <n v="0.03"/>
    <n v="21.6"/>
    <x v="0"/>
  </r>
  <r>
    <x v="841"/>
    <x v="19"/>
    <x v="0"/>
    <x v="1"/>
    <n v="16"/>
    <n v="80"/>
    <n v="1280"/>
    <n v="0.04"/>
    <n v="51.2"/>
    <x v="1"/>
  </r>
  <r>
    <x v="842"/>
    <x v="19"/>
    <x v="0"/>
    <x v="3"/>
    <n v="8"/>
    <n v="80"/>
    <n v="640"/>
    <n v="0.06"/>
    <n v="38.4"/>
    <x v="2"/>
  </r>
  <r>
    <x v="843"/>
    <x v="19"/>
    <x v="4"/>
    <x v="3"/>
    <n v="4"/>
    <n v="150"/>
    <n v="600"/>
    <n v="0.12"/>
    <n v="72"/>
    <x v="3"/>
  </r>
  <r>
    <x v="844"/>
    <x v="19"/>
    <x v="2"/>
    <x v="2"/>
    <n v="15"/>
    <n v="230"/>
    <n v="3450"/>
    <n v="0.04"/>
    <n v="138"/>
    <x v="4"/>
  </r>
  <r>
    <x v="845"/>
    <x v="20"/>
    <x v="3"/>
    <x v="1"/>
    <n v="7"/>
    <n v="16"/>
    <n v="112"/>
    <n v="0.08"/>
    <n v="8.9600000000000009"/>
    <x v="5"/>
  </r>
  <r>
    <x v="846"/>
    <x v="20"/>
    <x v="1"/>
    <x v="0"/>
    <n v="18"/>
    <n v="40"/>
    <n v="720"/>
    <n v="0.11"/>
    <n v="79.2"/>
    <x v="1"/>
  </r>
  <r>
    <x v="847"/>
    <x v="20"/>
    <x v="1"/>
    <x v="2"/>
    <n v="4"/>
    <n v="40"/>
    <n v="160"/>
    <n v="0.06"/>
    <n v="9.6"/>
    <x v="2"/>
  </r>
  <r>
    <x v="848"/>
    <x v="20"/>
    <x v="1"/>
    <x v="4"/>
    <n v="16"/>
    <n v="40"/>
    <n v="640"/>
    <n v="0.09"/>
    <n v="57.6"/>
    <x v="3"/>
  </r>
  <r>
    <x v="849"/>
    <x v="20"/>
    <x v="1"/>
    <x v="1"/>
    <n v="18"/>
    <n v="40"/>
    <n v="720"/>
    <n v="0.08"/>
    <n v="57.6"/>
    <x v="4"/>
  </r>
  <r>
    <x v="850"/>
    <x v="20"/>
    <x v="1"/>
    <x v="0"/>
    <n v="9"/>
    <n v="40"/>
    <n v="360"/>
    <n v="0.01"/>
    <n v="3.6"/>
    <x v="5"/>
  </r>
  <r>
    <x v="851"/>
    <x v="20"/>
    <x v="2"/>
    <x v="3"/>
    <n v="16"/>
    <n v="230"/>
    <n v="3680"/>
    <n v="0.11"/>
    <n v="404.8"/>
    <x v="6"/>
  </r>
  <r>
    <x v="852"/>
    <x v="20"/>
    <x v="3"/>
    <x v="2"/>
    <n v="12"/>
    <n v="16"/>
    <n v="192"/>
    <n v="0.11"/>
    <n v="21.12"/>
    <x v="7"/>
  </r>
  <r>
    <x v="853"/>
    <x v="20"/>
    <x v="0"/>
    <x v="1"/>
    <n v="2"/>
    <n v="80"/>
    <n v="160"/>
    <n v="7.0000000000000007E-2"/>
    <n v="11.2"/>
    <x v="8"/>
  </r>
  <r>
    <x v="854"/>
    <x v="20"/>
    <x v="1"/>
    <x v="0"/>
    <n v="2"/>
    <n v="40"/>
    <n v="80"/>
    <n v="0.12"/>
    <n v="9.6"/>
    <x v="9"/>
  </r>
  <r>
    <x v="855"/>
    <x v="21"/>
    <x v="4"/>
    <x v="0"/>
    <n v="13"/>
    <n v="150"/>
    <n v="1950"/>
    <n v="0.05"/>
    <n v="97.5"/>
    <x v="10"/>
  </r>
  <r>
    <x v="856"/>
    <x v="21"/>
    <x v="0"/>
    <x v="0"/>
    <n v="14"/>
    <n v="80"/>
    <n v="1120"/>
    <n v="0.08"/>
    <n v="89.6"/>
    <x v="11"/>
  </r>
  <r>
    <x v="857"/>
    <x v="21"/>
    <x v="4"/>
    <x v="3"/>
    <n v="6"/>
    <n v="150"/>
    <n v="900"/>
    <n v="0.03"/>
    <n v="27"/>
    <x v="0"/>
  </r>
  <r>
    <x v="858"/>
    <x v="21"/>
    <x v="0"/>
    <x v="3"/>
    <n v="23"/>
    <n v="80"/>
    <n v="1840"/>
    <n v="0.11"/>
    <n v="202.4"/>
    <x v="1"/>
  </r>
  <r>
    <x v="859"/>
    <x v="21"/>
    <x v="0"/>
    <x v="3"/>
    <n v="21"/>
    <n v="80"/>
    <n v="1680"/>
    <n v="0.05"/>
    <n v="84"/>
    <x v="2"/>
  </r>
  <r>
    <x v="860"/>
    <x v="21"/>
    <x v="3"/>
    <x v="2"/>
    <n v="3"/>
    <n v="16"/>
    <n v="48"/>
    <n v="0.05"/>
    <n v="2.4"/>
    <x v="3"/>
  </r>
  <r>
    <x v="861"/>
    <x v="21"/>
    <x v="3"/>
    <x v="1"/>
    <n v="21"/>
    <n v="16"/>
    <n v="336"/>
    <n v="0.02"/>
    <n v="6.72"/>
    <x v="4"/>
  </r>
  <r>
    <x v="862"/>
    <x v="21"/>
    <x v="0"/>
    <x v="3"/>
    <n v="4"/>
    <n v="80"/>
    <n v="320"/>
    <n v="0.11"/>
    <n v="35.200000000000003"/>
    <x v="5"/>
  </r>
  <r>
    <x v="863"/>
    <x v="21"/>
    <x v="4"/>
    <x v="4"/>
    <n v="23"/>
    <n v="150"/>
    <n v="3450"/>
    <n v="0.08"/>
    <n v="276"/>
    <x v="1"/>
  </r>
  <r>
    <x v="864"/>
    <x v="21"/>
    <x v="3"/>
    <x v="4"/>
    <n v="23"/>
    <n v="16"/>
    <n v="368"/>
    <n v="0.01"/>
    <n v="3.68"/>
    <x v="2"/>
  </r>
  <r>
    <x v="865"/>
    <x v="21"/>
    <x v="1"/>
    <x v="3"/>
    <n v="22"/>
    <n v="40"/>
    <n v="880"/>
    <n v="0.01"/>
    <n v="8.8000000000000007"/>
    <x v="3"/>
  </r>
  <r>
    <x v="866"/>
    <x v="22"/>
    <x v="4"/>
    <x v="0"/>
    <n v="8"/>
    <n v="150"/>
    <n v="1200"/>
    <n v="0.09"/>
    <n v="108"/>
    <x v="4"/>
  </r>
  <r>
    <x v="867"/>
    <x v="22"/>
    <x v="4"/>
    <x v="0"/>
    <n v="20"/>
    <n v="150"/>
    <n v="3000"/>
    <n v="0.01"/>
    <n v="30"/>
    <x v="5"/>
  </r>
  <r>
    <x v="868"/>
    <x v="22"/>
    <x v="2"/>
    <x v="1"/>
    <n v="22"/>
    <n v="230"/>
    <n v="5060"/>
    <n v="0.11"/>
    <n v="556.6"/>
    <x v="6"/>
  </r>
  <r>
    <x v="869"/>
    <x v="22"/>
    <x v="3"/>
    <x v="2"/>
    <n v="23"/>
    <n v="16"/>
    <n v="368"/>
    <n v="0.11"/>
    <n v="40.479999999999997"/>
    <x v="7"/>
  </r>
  <r>
    <x v="870"/>
    <x v="22"/>
    <x v="0"/>
    <x v="0"/>
    <n v="6"/>
    <n v="80"/>
    <n v="480"/>
    <n v="0.01"/>
    <n v="4.8"/>
    <x v="8"/>
  </r>
  <r>
    <x v="871"/>
    <x v="22"/>
    <x v="3"/>
    <x v="0"/>
    <n v="7"/>
    <n v="16"/>
    <n v="112"/>
    <n v="0.12"/>
    <n v="13.44"/>
    <x v="9"/>
  </r>
  <r>
    <x v="872"/>
    <x v="22"/>
    <x v="0"/>
    <x v="1"/>
    <n v="10"/>
    <n v="80"/>
    <n v="800"/>
    <n v="0.11"/>
    <n v="88"/>
    <x v="10"/>
  </r>
  <r>
    <x v="873"/>
    <x v="22"/>
    <x v="2"/>
    <x v="0"/>
    <n v="9"/>
    <n v="230"/>
    <n v="2070"/>
    <n v="7.0000000000000007E-2"/>
    <n v="144.9"/>
    <x v="11"/>
  </r>
  <r>
    <x v="874"/>
    <x v="23"/>
    <x v="1"/>
    <x v="1"/>
    <n v="12"/>
    <n v="40"/>
    <n v="480"/>
    <n v="0.1"/>
    <n v="48"/>
    <x v="0"/>
  </r>
  <r>
    <x v="875"/>
    <x v="23"/>
    <x v="3"/>
    <x v="4"/>
    <n v="17"/>
    <n v="16"/>
    <n v="272"/>
    <n v="0.1"/>
    <n v="27.2"/>
    <x v="1"/>
  </r>
  <r>
    <x v="876"/>
    <x v="23"/>
    <x v="4"/>
    <x v="2"/>
    <n v="22"/>
    <n v="150"/>
    <n v="3300"/>
    <n v="0.04"/>
    <n v="132"/>
    <x v="2"/>
  </r>
  <r>
    <x v="877"/>
    <x v="23"/>
    <x v="4"/>
    <x v="2"/>
    <n v="11"/>
    <n v="150"/>
    <n v="1650"/>
    <n v="0.05"/>
    <n v="82.5"/>
    <x v="3"/>
  </r>
  <r>
    <x v="878"/>
    <x v="23"/>
    <x v="0"/>
    <x v="4"/>
    <n v="9"/>
    <n v="80"/>
    <n v="720"/>
    <n v="0.02"/>
    <n v="14.4"/>
    <x v="4"/>
  </r>
  <r>
    <x v="879"/>
    <x v="23"/>
    <x v="0"/>
    <x v="4"/>
    <n v="13"/>
    <n v="80"/>
    <n v="1040"/>
    <n v="0.05"/>
    <n v="52"/>
    <x v="5"/>
  </r>
  <r>
    <x v="880"/>
    <x v="23"/>
    <x v="1"/>
    <x v="4"/>
    <n v="20"/>
    <n v="40"/>
    <n v="800"/>
    <n v="0.1"/>
    <n v="80"/>
    <x v="1"/>
  </r>
  <r>
    <x v="881"/>
    <x v="23"/>
    <x v="1"/>
    <x v="1"/>
    <n v="15"/>
    <n v="40"/>
    <n v="600"/>
    <n v="0.02"/>
    <n v="12"/>
    <x v="2"/>
  </r>
  <r>
    <x v="882"/>
    <x v="24"/>
    <x v="4"/>
    <x v="4"/>
    <n v="15"/>
    <n v="150"/>
    <n v="2250"/>
    <n v="7.0000000000000007E-2"/>
    <n v="157.5"/>
    <x v="3"/>
  </r>
  <r>
    <x v="883"/>
    <x v="24"/>
    <x v="0"/>
    <x v="4"/>
    <n v="16"/>
    <n v="80"/>
    <n v="1280"/>
    <n v="0.09"/>
    <n v="115.2"/>
    <x v="4"/>
  </r>
  <r>
    <x v="884"/>
    <x v="24"/>
    <x v="2"/>
    <x v="0"/>
    <n v="16"/>
    <n v="230"/>
    <n v="3680"/>
    <n v="7.0000000000000007E-2"/>
    <n v="257.60000000000002"/>
    <x v="5"/>
  </r>
  <r>
    <x v="885"/>
    <x v="24"/>
    <x v="0"/>
    <x v="1"/>
    <n v="14"/>
    <n v="80"/>
    <n v="1120"/>
    <n v="0.11"/>
    <n v="123.2"/>
    <x v="6"/>
  </r>
  <r>
    <x v="886"/>
    <x v="24"/>
    <x v="0"/>
    <x v="4"/>
    <n v="17"/>
    <n v="80"/>
    <n v="1360"/>
    <n v="7.0000000000000007E-2"/>
    <n v="95.2"/>
    <x v="7"/>
  </r>
  <r>
    <x v="887"/>
    <x v="24"/>
    <x v="0"/>
    <x v="2"/>
    <n v="16"/>
    <n v="80"/>
    <n v="1280"/>
    <n v="0.02"/>
    <n v="25.6"/>
    <x v="8"/>
  </r>
  <r>
    <x v="888"/>
    <x v="24"/>
    <x v="3"/>
    <x v="0"/>
    <n v="21"/>
    <n v="16"/>
    <n v="336"/>
    <n v="0.09"/>
    <n v="30.24"/>
    <x v="9"/>
  </r>
  <r>
    <x v="889"/>
    <x v="24"/>
    <x v="4"/>
    <x v="0"/>
    <n v="9"/>
    <n v="150"/>
    <n v="1350"/>
    <n v="0.1"/>
    <n v="135"/>
    <x v="10"/>
  </r>
  <r>
    <x v="890"/>
    <x v="24"/>
    <x v="4"/>
    <x v="3"/>
    <n v="3"/>
    <n v="150"/>
    <n v="450"/>
    <n v="0.01"/>
    <n v="4.5"/>
    <x v="11"/>
  </r>
  <r>
    <x v="891"/>
    <x v="25"/>
    <x v="0"/>
    <x v="1"/>
    <n v="14"/>
    <n v="80"/>
    <n v="1120"/>
    <n v="0.06"/>
    <n v="67.2"/>
    <x v="0"/>
  </r>
  <r>
    <x v="892"/>
    <x v="25"/>
    <x v="4"/>
    <x v="4"/>
    <n v="4"/>
    <n v="150"/>
    <n v="600"/>
    <n v="0.05"/>
    <n v="30"/>
    <x v="1"/>
  </r>
  <r>
    <x v="893"/>
    <x v="25"/>
    <x v="3"/>
    <x v="1"/>
    <n v="20"/>
    <n v="16"/>
    <n v="320"/>
    <n v="0.06"/>
    <n v="19.2"/>
    <x v="2"/>
  </r>
  <r>
    <x v="894"/>
    <x v="25"/>
    <x v="2"/>
    <x v="2"/>
    <n v="7"/>
    <n v="230"/>
    <n v="1610"/>
    <n v="0.01"/>
    <n v="16.100000000000001"/>
    <x v="3"/>
  </r>
  <r>
    <x v="895"/>
    <x v="25"/>
    <x v="0"/>
    <x v="1"/>
    <n v="9"/>
    <n v="80"/>
    <n v="720"/>
    <n v="0.03"/>
    <n v="21.6"/>
    <x v="4"/>
  </r>
  <r>
    <x v="896"/>
    <x v="25"/>
    <x v="1"/>
    <x v="3"/>
    <n v="4"/>
    <n v="40"/>
    <n v="160"/>
    <n v="0.05"/>
    <n v="8"/>
    <x v="5"/>
  </r>
  <r>
    <x v="897"/>
    <x v="25"/>
    <x v="0"/>
    <x v="0"/>
    <n v="6"/>
    <n v="80"/>
    <n v="480"/>
    <n v="7.0000000000000007E-2"/>
    <n v="33.6"/>
    <x v="1"/>
  </r>
  <r>
    <x v="898"/>
    <x v="25"/>
    <x v="3"/>
    <x v="2"/>
    <n v="8"/>
    <n v="16"/>
    <n v="128"/>
    <n v="0.03"/>
    <n v="3.84"/>
    <x v="2"/>
  </r>
  <r>
    <x v="899"/>
    <x v="25"/>
    <x v="3"/>
    <x v="0"/>
    <n v="10"/>
    <n v="16"/>
    <n v="160"/>
    <n v="0.08"/>
    <n v="12.8"/>
    <x v="3"/>
  </r>
  <r>
    <x v="900"/>
    <x v="25"/>
    <x v="3"/>
    <x v="3"/>
    <n v="22"/>
    <n v="16"/>
    <n v="352"/>
    <n v="0.03"/>
    <n v="10.56"/>
    <x v="4"/>
  </r>
  <r>
    <x v="901"/>
    <x v="25"/>
    <x v="0"/>
    <x v="3"/>
    <n v="11"/>
    <n v="80"/>
    <n v="880"/>
    <n v="0.01"/>
    <n v="8.8000000000000007"/>
    <x v="5"/>
  </r>
  <r>
    <x v="902"/>
    <x v="25"/>
    <x v="3"/>
    <x v="3"/>
    <n v="7"/>
    <n v="16"/>
    <n v="112"/>
    <n v="0.08"/>
    <n v="8.9600000000000009"/>
    <x v="6"/>
  </r>
  <r>
    <x v="903"/>
    <x v="26"/>
    <x v="3"/>
    <x v="2"/>
    <n v="11"/>
    <n v="16"/>
    <n v="176"/>
    <n v="0.12"/>
    <n v="21.12"/>
    <x v="7"/>
  </r>
  <r>
    <x v="904"/>
    <x v="26"/>
    <x v="1"/>
    <x v="4"/>
    <n v="7"/>
    <n v="40"/>
    <n v="280"/>
    <n v="0.05"/>
    <n v="14"/>
    <x v="8"/>
  </r>
  <r>
    <x v="905"/>
    <x v="26"/>
    <x v="4"/>
    <x v="2"/>
    <n v="9"/>
    <n v="150"/>
    <n v="1350"/>
    <n v="0.06"/>
    <n v="81"/>
    <x v="9"/>
  </r>
  <r>
    <x v="906"/>
    <x v="26"/>
    <x v="2"/>
    <x v="0"/>
    <n v="20"/>
    <n v="230"/>
    <n v="4600"/>
    <n v="0.04"/>
    <n v="184"/>
    <x v="10"/>
  </r>
  <r>
    <x v="907"/>
    <x v="26"/>
    <x v="4"/>
    <x v="2"/>
    <n v="9"/>
    <n v="150"/>
    <n v="1350"/>
    <n v="0.02"/>
    <n v="27"/>
    <x v="11"/>
  </r>
  <r>
    <x v="908"/>
    <x v="26"/>
    <x v="0"/>
    <x v="1"/>
    <n v="5"/>
    <n v="80"/>
    <n v="400"/>
    <n v="7.0000000000000007E-2"/>
    <n v="28"/>
    <x v="0"/>
  </r>
  <r>
    <x v="909"/>
    <x v="26"/>
    <x v="4"/>
    <x v="2"/>
    <n v="20"/>
    <n v="150"/>
    <n v="3000"/>
    <n v="0.04"/>
    <n v="120"/>
    <x v="1"/>
  </r>
  <r>
    <x v="910"/>
    <x v="26"/>
    <x v="4"/>
    <x v="3"/>
    <n v="15"/>
    <n v="150"/>
    <n v="2250"/>
    <n v="0.05"/>
    <n v="112.5"/>
    <x v="2"/>
  </r>
  <r>
    <x v="911"/>
    <x v="26"/>
    <x v="0"/>
    <x v="0"/>
    <n v="20"/>
    <n v="80"/>
    <n v="1600"/>
    <n v="0.01"/>
    <n v="16"/>
    <x v="3"/>
  </r>
  <r>
    <x v="912"/>
    <x v="27"/>
    <x v="2"/>
    <x v="1"/>
    <n v="12"/>
    <n v="230"/>
    <n v="2760"/>
    <n v="0.03"/>
    <n v="82.8"/>
    <x v="4"/>
  </r>
  <r>
    <x v="913"/>
    <x v="27"/>
    <x v="1"/>
    <x v="4"/>
    <n v="20"/>
    <n v="40"/>
    <n v="800"/>
    <n v="0.05"/>
    <n v="40"/>
    <x v="5"/>
  </r>
  <r>
    <x v="914"/>
    <x v="27"/>
    <x v="1"/>
    <x v="4"/>
    <n v="4"/>
    <n v="40"/>
    <n v="160"/>
    <n v="0.09"/>
    <n v="14.4"/>
    <x v="1"/>
  </r>
  <r>
    <x v="915"/>
    <x v="27"/>
    <x v="3"/>
    <x v="2"/>
    <n v="6"/>
    <n v="16"/>
    <n v="96"/>
    <n v="7.0000000000000007E-2"/>
    <n v="6.72"/>
    <x v="2"/>
  </r>
  <r>
    <x v="916"/>
    <x v="27"/>
    <x v="0"/>
    <x v="1"/>
    <n v="13"/>
    <n v="80"/>
    <n v="1040"/>
    <n v="0.06"/>
    <n v="62.4"/>
    <x v="3"/>
  </r>
  <r>
    <x v="917"/>
    <x v="27"/>
    <x v="4"/>
    <x v="0"/>
    <n v="4"/>
    <n v="150"/>
    <n v="600"/>
    <n v="0.1"/>
    <n v="60"/>
    <x v="4"/>
  </r>
  <r>
    <x v="918"/>
    <x v="27"/>
    <x v="4"/>
    <x v="3"/>
    <n v="9"/>
    <n v="150"/>
    <n v="1350"/>
    <n v="0.02"/>
    <n v="27"/>
    <x v="5"/>
  </r>
  <r>
    <x v="919"/>
    <x v="27"/>
    <x v="4"/>
    <x v="0"/>
    <n v="11"/>
    <n v="150"/>
    <n v="1650"/>
    <n v="0.05"/>
    <n v="82.5"/>
    <x v="6"/>
  </r>
  <r>
    <x v="920"/>
    <x v="27"/>
    <x v="3"/>
    <x v="2"/>
    <n v="6"/>
    <n v="16"/>
    <n v="96"/>
    <n v="0.06"/>
    <n v="5.76"/>
    <x v="7"/>
  </r>
  <r>
    <x v="921"/>
    <x v="28"/>
    <x v="2"/>
    <x v="2"/>
    <n v="14"/>
    <n v="230"/>
    <n v="3220"/>
    <n v="0.12"/>
    <n v="386.4"/>
    <x v="8"/>
  </r>
  <r>
    <x v="922"/>
    <x v="28"/>
    <x v="0"/>
    <x v="1"/>
    <n v="15"/>
    <n v="80"/>
    <n v="1200"/>
    <n v="0.12"/>
    <n v="144"/>
    <x v="9"/>
  </r>
  <r>
    <x v="923"/>
    <x v="28"/>
    <x v="2"/>
    <x v="3"/>
    <n v="17"/>
    <n v="230"/>
    <n v="3910"/>
    <n v="0.12"/>
    <n v="469.2"/>
    <x v="10"/>
  </r>
  <r>
    <x v="924"/>
    <x v="28"/>
    <x v="4"/>
    <x v="0"/>
    <n v="5"/>
    <n v="150"/>
    <n v="750"/>
    <n v="0.11"/>
    <n v="82.5"/>
    <x v="11"/>
  </r>
  <r>
    <x v="925"/>
    <x v="28"/>
    <x v="0"/>
    <x v="4"/>
    <n v="10"/>
    <n v="80"/>
    <n v="800"/>
    <n v="0.06"/>
    <n v="48"/>
    <x v="0"/>
  </r>
  <r>
    <x v="926"/>
    <x v="28"/>
    <x v="0"/>
    <x v="0"/>
    <n v="9"/>
    <n v="80"/>
    <n v="720"/>
    <n v="0.04"/>
    <n v="28.8"/>
    <x v="1"/>
  </r>
  <r>
    <x v="927"/>
    <x v="28"/>
    <x v="1"/>
    <x v="4"/>
    <n v="16"/>
    <n v="40"/>
    <n v="640"/>
    <n v="0.09"/>
    <n v="57.6"/>
    <x v="2"/>
  </r>
  <r>
    <x v="928"/>
    <x v="28"/>
    <x v="2"/>
    <x v="0"/>
    <n v="7"/>
    <n v="230"/>
    <n v="1610"/>
    <n v="0.08"/>
    <n v="128.80000000000001"/>
    <x v="3"/>
  </r>
  <r>
    <x v="929"/>
    <x v="28"/>
    <x v="0"/>
    <x v="3"/>
    <n v="17"/>
    <n v="80"/>
    <n v="1360"/>
    <n v="0.05"/>
    <n v="68"/>
    <x v="4"/>
  </r>
  <r>
    <x v="930"/>
    <x v="28"/>
    <x v="2"/>
    <x v="0"/>
    <n v="11"/>
    <n v="230"/>
    <n v="2530"/>
    <n v="0.02"/>
    <n v="50.6"/>
    <x v="5"/>
  </r>
  <r>
    <x v="931"/>
    <x v="29"/>
    <x v="1"/>
    <x v="0"/>
    <n v="15"/>
    <n v="40"/>
    <n v="600"/>
    <n v="0.06"/>
    <n v="36"/>
    <x v="1"/>
  </r>
  <r>
    <x v="932"/>
    <x v="30"/>
    <x v="2"/>
    <x v="0"/>
    <n v="7"/>
    <n v="230"/>
    <n v="1610"/>
    <n v="0.02"/>
    <n v="32.200000000000003"/>
    <x v="2"/>
  </r>
  <r>
    <x v="933"/>
    <x v="30"/>
    <x v="0"/>
    <x v="2"/>
    <n v="20"/>
    <n v="80"/>
    <n v="1600"/>
    <n v="7.0000000000000007E-2"/>
    <n v="112"/>
    <x v="3"/>
  </r>
  <r>
    <x v="934"/>
    <x v="30"/>
    <x v="0"/>
    <x v="1"/>
    <n v="3"/>
    <n v="80"/>
    <n v="240"/>
    <n v="0.02"/>
    <n v="4.8"/>
    <x v="4"/>
  </r>
  <r>
    <x v="935"/>
    <x v="30"/>
    <x v="4"/>
    <x v="2"/>
    <n v="2"/>
    <n v="150"/>
    <n v="300"/>
    <n v="0.02"/>
    <n v="6"/>
    <x v="5"/>
  </r>
  <r>
    <x v="936"/>
    <x v="30"/>
    <x v="4"/>
    <x v="2"/>
    <n v="22"/>
    <n v="150"/>
    <n v="3300"/>
    <n v="0.09"/>
    <n v="297"/>
    <x v="6"/>
  </r>
  <r>
    <x v="937"/>
    <x v="30"/>
    <x v="2"/>
    <x v="0"/>
    <n v="5"/>
    <n v="230"/>
    <n v="1150"/>
    <n v="0.1"/>
    <n v="115"/>
    <x v="7"/>
  </r>
  <r>
    <x v="938"/>
    <x v="30"/>
    <x v="3"/>
    <x v="4"/>
    <n v="12"/>
    <n v="16"/>
    <n v="192"/>
    <n v="0.04"/>
    <n v="7.68"/>
    <x v="8"/>
  </r>
  <r>
    <x v="939"/>
    <x v="30"/>
    <x v="1"/>
    <x v="3"/>
    <n v="6"/>
    <n v="40"/>
    <n v="240"/>
    <n v="7.0000000000000007E-2"/>
    <n v="16.8"/>
    <x v="9"/>
  </r>
  <r>
    <x v="940"/>
    <x v="30"/>
    <x v="3"/>
    <x v="4"/>
    <n v="15"/>
    <n v="16"/>
    <n v="240"/>
    <n v="0.01"/>
    <n v="2.4"/>
    <x v="10"/>
  </r>
  <r>
    <x v="941"/>
    <x v="0"/>
    <x v="4"/>
    <x v="4"/>
    <n v="13"/>
    <n v="150"/>
    <n v="1950"/>
    <n v="0.11"/>
    <n v="214.5"/>
    <x v="11"/>
  </r>
  <r>
    <x v="942"/>
    <x v="0"/>
    <x v="1"/>
    <x v="1"/>
    <n v="8"/>
    <n v="40"/>
    <n v="320"/>
    <n v="0.09"/>
    <n v="28.8"/>
    <x v="0"/>
  </r>
  <r>
    <x v="943"/>
    <x v="0"/>
    <x v="1"/>
    <x v="3"/>
    <n v="7"/>
    <n v="40"/>
    <n v="280"/>
    <n v="7.0000000000000007E-2"/>
    <n v="19.600000000000001"/>
    <x v="1"/>
  </r>
  <r>
    <x v="944"/>
    <x v="0"/>
    <x v="1"/>
    <x v="1"/>
    <n v="18"/>
    <n v="40"/>
    <n v="720"/>
    <n v="0.08"/>
    <n v="57.6"/>
    <x v="2"/>
  </r>
  <r>
    <x v="945"/>
    <x v="0"/>
    <x v="2"/>
    <x v="3"/>
    <n v="19"/>
    <n v="230"/>
    <n v="4370"/>
    <n v="0.06"/>
    <n v="262.2"/>
    <x v="3"/>
  </r>
  <r>
    <x v="946"/>
    <x v="0"/>
    <x v="4"/>
    <x v="0"/>
    <n v="4"/>
    <n v="150"/>
    <n v="600"/>
    <n v="0.1"/>
    <n v="60"/>
    <x v="4"/>
  </r>
  <r>
    <x v="947"/>
    <x v="1"/>
    <x v="0"/>
    <x v="4"/>
    <n v="9"/>
    <n v="80"/>
    <n v="720"/>
    <n v="0.06"/>
    <n v="43.2"/>
    <x v="5"/>
  </r>
  <r>
    <x v="948"/>
    <x v="1"/>
    <x v="0"/>
    <x v="2"/>
    <n v="16"/>
    <n v="80"/>
    <n v="1280"/>
    <n v="0.02"/>
    <n v="25.6"/>
    <x v="1"/>
  </r>
  <r>
    <x v="949"/>
    <x v="1"/>
    <x v="2"/>
    <x v="1"/>
    <n v="15"/>
    <n v="230"/>
    <n v="3450"/>
    <n v="0.09"/>
    <n v="310.5"/>
    <x v="2"/>
  </r>
  <r>
    <x v="950"/>
    <x v="1"/>
    <x v="3"/>
    <x v="4"/>
    <n v="15"/>
    <n v="16"/>
    <n v="240"/>
    <n v="0.01"/>
    <n v="2.4"/>
    <x v="3"/>
  </r>
  <r>
    <x v="951"/>
    <x v="1"/>
    <x v="2"/>
    <x v="0"/>
    <n v="7"/>
    <n v="230"/>
    <n v="1610"/>
    <n v="0.02"/>
    <n v="32.200000000000003"/>
    <x v="4"/>
  </r>
  <r>
    <x v="952"/>
    <x v="1"/>
    <x v="3"/>
    <x v="2"/>
    <n v="23"/>
    <n v="16"/>
    <n v="368"/>
    <n v="0.11"/>
    <n v="40.479999999999997"/>
    <x v="5"/>
  </r>
  <r>
    <x v="953"/>
    <x v="1"/>
    <x v="1"/>
    <x v="4"/>
    <n v="20"/>
    <n v="40"/>
    <n v="800"/>
    <n v="0.05"/>
    <n v="40"/>
    <x v="6"/>
  </r>
  <r>
    <x v="954"/>
    <x v="2"/>
    <x v="2"/>
    <x v="1"/>
    <n v="9"/>
    <n v="230"/>
    <n v="2070"/>
    <n v="0.03"/>
    <n v="62.1"/>
    <x v="7"/>
  </r>
  <r>
    <x v="955"/>
    <x v="2"/>
    <x v="1"/>
    <x v="3"/>
    <n v="23"/>
    <n v="40"/>
    <n v="920"/>
    <n v="0.06"/>
    <n v="55.2"/>
    <x v="8"/>
  </r>
  <r>
    <x v="956"/>
    <x v="2"/>
    <x v="1"/>
    <x v="3"/>
    <n v="4"/>
    <n v="40"/>
    <n v="160"/>
    <n v="0.05"/>
    <n v="8"/>
    <x v="9"/>
  </r>
  <r>
    <x v="957"/>
    <x v="2"/>
    <x v="4"/>
    <x v="0"/>
    <n v="13"/>
    <n v="150"/>
    <n v="1950"/>
    <n v="0.05"/>
    <n v="97.5"/>
    <x v="10"/>
  </r>
  <r>
    <x v="958"/>
    <x v="2"/>
    <x v="2"/>
    <x v="1"/>
    <n v="7"/>
    <n v="230"/>
    <n v="1610"/>
    <n v="0.01"/>
    <n v="16.100000000000001"/>
    <x v="11"/>
  </r>
  <r>
    <x v="959"/>
    <x v="2"/>
    <x v="2"/>
    <x v="1"/>
    <n v="7"/>
    <n v="230"/>
    <n v="1610"/>
    <n v="0.08"/>
    <n v="128.80000000000001"/>
    <x v="0"/>
  </r>
  <r>
    <x v="960"/>
    <x v="2"/>
    <x v="2"/>
    <x v="2"/>
    <n v="15"/>
    <n v="230"/>
    <n v="3450"/>
    <n v="0.04"/>
    <n v="138"/>
    <x v="1"/>
  </r>
  <r>
    <x v="961"/>
    <x v="2"/>
    <x v="1"/>
    <x v="3"/>
    <n v="15"/>
    <n v="40"/>
    <n v="600"/>
    <n v="0.03"/>
    <n v="18"/>
    <x v="2"/>
  </r>
  <r>
    <x v="962"/>
    <x v="2"/>
    <x v="1"/>
    <x v="2"/>
    <n v="2"/>
    <n v="40"/>
    <n v="80"/>
    <n v="0.03"/>
    <n v="2.4"/>
    <x v="3"/>
  </r>
  <r>
    <x v="963"/>
    <x v="2"/>
    <x v="4"/>
    <x v="2"/>
    <n v="2"/>
    <n v="150"/>
    <n v="300"/>
    <n v="0.02"/>
    <n v="6"/>
    <x v="4"/>
  </r>
  <r>
    <x v="964"/>
    <x v="3"/>
    <x v="2"/>
    <x v="0"/>
    <n v="3"/>
    <n v="230"/>
    <n v="690"/>
    <n v="0.11"/>
    <n v="75.900000000000006"/>
    <x v="5"/>
  </r>
  <r>
    <x v="965"/>
    <x v="3"/>
    <x v="1"/>
    <x v="2"/>
    <n v="4"/>
    <n v="40"/>
    <n v="160"/>
    <n v="0.06"/>
    <n v="9.6"/>
    <x v="1"/>
  </r>
  <r>
    <x v="966"/>
    <x v="3"/>
    <x v="1"/>
    <x v="3"/>
    <n v="13"/>
    <n v="40"/>
    <n v="520"/>
    <n v="0.06"/>
    <n v="31.2"/>
    <x v="2"/>
  </r>
  <r>
    <x v="967"/>
    <x v="3"/>
    <x v="3"/>
    <x v="3"/>
    <n v="15"/>
    <n v="16"/>
    <n v="240"/>
    <n v="0.12"/>
    <n v="28.8"/>
    <x v="3"/>
  </r>
  <r>
    <x v="968"/>
    <x v="3"/>
    <x v="0"/>
    <x v="0"/>
    <n v="14"/>
    <n v="80"/>
    <n v="1120"/>
    <n v="0.08"/>
    <n v="89.6"/>
    <x v="4"/>
  </r>
  <r>
    <x v="969"/>
    <x v="3"/>
    <x v="3"/>
    <x v="0"/>
    <n v="7"/>
    <n v="16"/>
    <n v="112"/>
    <n v="0.08"/>
    <n v="8.9600000000000009"/>
    <x v="5"/>
  </r>
  <r>
    <x v="970"/>
    <x v="3"/>
    <x v="4"/>
    <x v="1"/>
    <n v="13"/>
    <n v="150"/>
    <n v="1950"/>
    <n v="0.02"/>
    <n v="39"/>
    <x v="6"/>
  </r>
  <r>
    <x v="971"/>
    <x v="3"/>
    <x v="4"/>
    <x v="2"/>
    <n v="9"/>
    <n v="150"/>
    <n v="1350"/>
    <n v="0.02"/>
    <n v="27"/>
    <x v="7"/>
  </r>
  <r>
    <x v="972"/>
    <x v="3"/>
    <x v="1"/>
    <x v="0"/>
    <n v="9"/>
    <n v="40"/>
    <n v="360"/>
    <n v="0.01"/>
    <n v="3.6"/>
    <x v="8"/>
  </r>
  <r>
    <x v="973"/>
    <x v="4"/>
    <x v="0"/>
    <x v="4"/>
    <n v="9"/>
    <n v="80"/>
    <n v="720"/>
    <n v="7.0000000000000007E-2"/>
    <n v="50.4"/>
    <x v="9"/>
  </r>
  <r>
    <x v="974"/>
    <x v="4"/>
    <x v="2"/>
    <x v="1"/>
    <n v="22"/>
    <n v="230"/>
    <n v="5060"/>
    <n v="0.11"/>
    <n v="556.6"/>
    <x v="10"/>
  </r>
  <r>
    <x v="975"/>
    <x v="4"/>
    <x v="4"/>
    <x v="1"/>
    <n v="15"/>
    <n v="150"/>
    <n v="2250"/>
    <n v="0.02"/>
    <n v="45"/>
    <x v="11"/>
  </r>
  <r>
    <x v="976"/>
    <x v="4"/>
    <x v="2"/>
    <x v="4"/>
    <n v="5"/>
    <n v="230"/>
    <n v="1150"/>
    <n v="0.12"/>
    <n v="138"/>
    <x v="0"/>
  </r>
  <r>
    <x v="977"/>
    <x v="4"/>
    <x v="1"/>
    <x v="2"/>
    <n v="20"/>
    <n v="40"/>
    <n v="800"/>
    <n v="0.01"/>
    <n v="8"/>
    <x v="1"/>
  </r>
  <r>
    <x v="978"/>
    <x v="4"/>
    <x v="1"/>
    <x v="0"/>
    <n v="23"/>
    <n v="40"/>
    <n v="920"/>
    <n v="0.03"/>
    <n v="27.6"/>
    <x v="2"/>
  </r>
  <r>
    <x v="979"/>
    <x v="4"/>
    <x v="0"/>
    <x v="4"/>
    <n v="16"/>
    <n v="80"/>
    <n v="1280"/>
    <n v="0.05"/>
    <n v="64"/>
    <x v="3"/>
  </r>
  <r>
    <x v="980"/>
    <x v="4"/>
    <x v="2"/>
    <x v="2"/>
    <n v="18"/>
    <n v="230"/>
    <n v="4140"/>
    <n v="0.01"/>
    <n v="41.4"/>
    <x v="4"/>
  </r>
  <r>
    <x v="981"/>
    <x v="4"/>
    <x v="1"/>
    <x v="4"/>
    <n v="23"/>
    <n v="40"/>
    <n v="920"/>
    <n v="0.05"/>
    <n v="46"/>
    <x v="5"/>
  </r>
  <r>
    <x v="982"/>
    <x v="4"/>
    <x v="3"/>
    <x v="3"/>
    <n v="5"/>
    <n v="16"/>
    <n v="80"/>
    <n v="0.09"/>
    <n v="7.2"/>
    <x v="1"/>
  </r>
  <r>
    <x v="983"/>
    <x v="4"/>
    <x v="1"/>
    <x v="0"/>
    <n v="22"/>
    <n v="40"/>
    <n v="880"/>
    <n v="0.02"/>
    <n v="17.600000000000001"/>
    <x v="2"/>
  </r>
  <r>
    <x v="984"/>
    <x v="5"/>
    <x v="4"/>
    <x v="0"/>
    <n v="23"/>
    <n v="150"/>
    <n v="3450"/>
    <n v="0.1"/>
    <n v="345"/>
    <x v="3"/>
  </r>
  <r>
    <x v="985"/>
    <x v="5"/>
    <x v="2"/>
    <x v="1"/>
    <n v="22"/>
    <n v="230"/>
    <n v="5060"/>
    <n v="0.04"/>
    <n v="202.4"/>
    <x v="4"/>
  </r>
  <r>
    <x v="986"/>
    <x v="5"/>
    <x v="0"/>
    <x v="3"/>
    <n v="16"/>
    <n v="80"/>
    <n v="1280"/>
    <n v="7.0000000000000007E-2"/>
    <n v="89.6"/>
    <x v="5"/>
  </r>
  <r>
    <x v="987"/>
    <x v="5"/>
    <x v="4"/>
    <x v="2"/>
    <n v="22"/>
    <n v="150"/>
    <n v="3300"/>
    <n v="0.09"/>
    <n v="297"/>
    <x v="6"/>
  </r>
  <r>
    <x v="988"/>
    <x v="5"/>
    <x v="0"/>
    <x v="2"/>
    <n v="5"/>
    <n v="80"/>
    <n v="400"/>
    <n v="0.09"/>
    <n v="36"/>
    <x v="7"/>
  </r>
  <r>
    <x v="989"/>
    <x v="5"/>
    <x v="0"/>
    <x v="3"/>
    <n v="16"/>
    <n v="80"/>
    <n v="1280"/>
    <n v="0.1"/>
    <n v="128"/>
    <x v="8"/>
  </r>
  <r>
    <x v="990"/>
    <x v="5"/>
    <x v="4"/>
    <x v="1"/>
    <n v="23"/>
    <n v="150"/>
    <n v="3450"/>
    <n v="0.11"/>
    <n v="379.5"/>
    <x v="9"/>
  </r>
  <r>
    <x v="991"/>
    <x v="5"/>
    <x v="3"/>
    <x v="1"/>
    <n v="4"/>
    <n v="16"/>
    <n v="64"/>
    <n v="0.09"/>
    <n v="5.76"/>
    <x v="10"/>
  </r>
  <r>
    <x v="992"/>
    <x v="5"/>
    <x v="3"/>
    <x v="1"/>
    <n v="4"/>
    <n v="16"/>
    <n v="64"/>
    <n v="7.0000000000000007E-2"/>
    <n v="4.4800000000000004"/>
    <x v="11"/>
  </r>
  <r>
    <x v="993"/>
    <x v="5"/>
    <x v="3"/>
    <x v="0"/>
    <n v="16"/>
    <n v="16"/>
    <n v="256"/>
    <n v="0.03"/>
    <n v="7.68"/>
    <x v="0"/>
  </r>
  <r>
    <x v="994"/>
    <x v="5"/>
    <x v="1"/>
    <x v="3"/>
    <n v="18"/>
    <n v="40"/>
    <n v="720"/>
    <n v="0.04"/>
    <n v="28.8"/>
    <x v="1"/>
  </r>
  <r>
    <x v="995"/>
    <x v="5"/>
    <x v="0"/>
    <x v="3"/>
    <n v="21"/>
    <n v="80"/>
    <n v="1680"/>
    <n v="0.02"/>
    <n v="33.6"/>
    <x v="2"/>
  </r>
  <r>
    <x v="996"/>
    <x v="5"/>
    <x v="0"/>
    <x v="4"/>
    <n v="10"/>
    <n v="80"/>
    <n v="800"/>
    <n v="0.06"/>
    <n v="48"/>
    <x v="3"/>
  </r>
  <r>
    <x v="997"/>
    <x v="5"/>
    <x v="2"/>
    <x v="2"/>
    <n v="7"/>
    <n v="230"/>
    <n v="1610"/>
    <n v="0.01"/>
    <n v="16.100000000000001"/>
    <x v="4"/>
  </r>
  <r>
    <x v="998"/>
    <x v="6"/>
    <x v="3"/>
    <x v="4"/>
    <n v="11"/>
    <n v="16"/>
    <n v="176"/>
    <n v="0.12"/>
    <n v="21.12"/>
    <x v="5"/>
  </r>
  <r>
    <x v="999"/>
    <x v="6"/>
    <x v="0"/>
    <x v="3"/>
    <n v="10"/>
    <n v="80"/>
    <n v="800"/>
    <n v="0.1"/>
    <n v="80"/>
    <x v="1"/>
  </r>
  <r>
    <x v="1000"/>
    <x v="6"/>
    <x v="1"/>
    <x v="1"/>
    <n v="23"/>
    <n v="40"/>
    <n v="920"/>
    <n v="0.06"/>
    <n v="55.2"/>
    <x v="2"/>
  </r>
  <r>
    <x v="1001"/>
    <x v="6"/>
    <x v="4"/>
    <x v="4"/>
    <n v="7"/>
    <n v="150"/>
    <n v="1050"/>
    <n v="0.02"/>
    <n v="21"/>
    <x v="3"/>
  </r>
  <r>
    <x v="1002"/>
    <x v="6"/>
    <x v="0"/>
    <x v="0"/>
    <n v="17"/>
    <n v="80"/>
    <n v="1360"/>
    <n v="7.0000000000000007E-2"/>
    <n v="95.2"/>
    <x v="4"/>
  </r>
  <r>
    <x v="1003"/>
    <x v="6"/>
    <x v="4"/>
    <x v="1"/>
    <n v="20"/>
    <n v="150"/>
    <n v="3000"/>
    <n v="0.09"/>
    <n v="270"/>
    <x v="5"/>
  </r>
  <r>
    <x v="1004"/>
    <x v="6"/>
    <x v="2"/>
    <x v="3"/>
    <n v="23"/>
    <n v="230"/>
    <n v="5290"/>
    <n v="0.06"/>
    <n v="317.39999999999998"/>
    <x v="6"/>
  </r>
  <r>
    <x v="1005"/>
    <x v="6"/>
    <x v="0"/>
    <x v="1"/>
    <n v="16"/>
    <n v="80"/>
    <n v="1280"/>
    <n v="0.04"/>
    <n v="51.2"/>
    <x v="7"/>
  </r>
  <r>
    <x v="1006"/>
    <x v="6"/>
    <x v="2"/>
    <x v="4"/>
    <n v="22"/>
    <n v="230"/>
    <n v="5060"/>
    <n v="0.1"/>
    <n v="506"/>
    <x v="8"/>
  </r>
  <r>
    <x v="1007"/>
    <x v="6"/>
    <x v="2"/>
    <x v="2"/>
    <n v="15"/>
    <n v="230"/>
    <n v="3450"/>
    <n v="0.11"/>
    <n v="379.5"/>
    <x v="9"/>
  </r>
  <r>
    <x v="1008"/>
    <x v="6"/>
    <x v="1"/>
    <x v="1"/>
    <n v="15"/>
    <n v="40"/>
    <n v="600"/>
    <n v="0.04"/>
    <n v="24"/>
    <x v="10"/>
  </r>
  <r>
    <x v="1009"/>
    <x v="6"/>
    <x v="0"/>
    <x v="1"/>
    <n v="2"/>
    <n v="80"/>
    <n v="160"/>
    <n v="7.0000000000000007E-2"/>
    <n v="11.2"/>
    <x v="11"/>
  </r>
  <r>
    <x v="1010"/>
    <x v="7"/>
    <x v="4"/>
    <x v="0"/>
    <n v="22"/>
    <n v="150"/>
    <n v="3300"/>
    <n v="0.05"/>
    <n v="165"/>
    <x v="0"/>
  </r>
  <r>
    <x v="1011"/>
    <x v="7"/>
    <x v="1"/>
    <x v="4"/>
    <n v="20"/>
    <n v="40"/>
    <n v="800"/>
    <n v="7.0000000000000007E-2"/>
    <n v="56"/>
    <x v="1"/>
  </r>
  <r>
    <x v="1012"/>
    <x v="7"/>
    <x v="2"/>
    <x v="3"/>
    <n v="2"/>
    <n v="230"/>
    <n v="460"/>
    <n v="0.09"/>
    <n v="41.4"/>
    <x v="2"/>
  </r>
  <r>
    <x v="1013"/>
    <x v="7"/>
    <x v="1"/>
    <x v="3"/>
    <n v="7"/>
    <n v="40"/>
    <n v="280"/>
    <n v="0.11"/>
    <n v="30.8"/>
    <x v="3"/>
  </r>
  <r>
    <x v="1014"/>
    <x v="7"/>
    <x v="0"/>
    <x v="3"/>
    <n v="7"/>
    <n v="80"/>
    <n v="560"/>
    <n v="7.0000000000000007E-2"/>
    <n v="39.200000000000003"/>
    <x v="4"/>
  </r>
  <r>
    <x v="1015"/>
    <x v="7"/>
    <x v="1"/>
    <x v="3"/>
    <n v="9"/>
    <n v="40"/>
    <n v="360"/>
    <n v="0.06"/>
    <n v="21.6"/>
    <x v="5"/>
  </r>
  <r>
    <x v="1016"/>
    <x v="7"/>
    <x v="1"/>
    <x v="0"/>
    <n v="18"/>
    <n v="40"/>
    <n v="720"/>
    <n v="0.11"/>
    <n v="79.2"/>
    <x v="1"/>
  </r>
  <r>
    <x v="1017"/>
    <x v="7"/>
    <x v="2"/>
    <x v="0"/>
    <n v="20"/>
    <n v="230"/>
    <n v="4600"/>
    <n v="0.04"/>
    <n v="184"/>
    <x v="2"/>
  </r>
  <r>
    <x v="1018"/>
    <x v="7"/>
    <x v="0"/>
    <x v="2"/>
    <n v="23"/>
    <n v="80"/>
    <n v="1840"/>
    <n v="0.05"/>
    <n v="92"/>
    <x v="3"/>
  </r>
  <r>
    <x v="1019"/>
    <x v="7"/>
    <x v="4"/>
    <x v="4"/>
    <n v="11"/>
    <n v="150"/>
    <n v="1650"/>
    <n v="0.09"/>
    <n v="148.5"/>
    <x v="4"/>
  </r>
  <r>
    <x v="1020"/>
    <x v="7"/>
    <x v="4"/>
    <x v="0"/>
    <n v="17"/>
    <n v="150"/>
    <n v="2550"/>
    <n v="0.12"/>
    <n v="306"/>
    <x v="5"/>
  </r>
  <r>
    <x v="1021"/>
    <x v="7"/>
    <x v="2"/>
    <x v="4"/>
    <n v="2"/>
    <n v="230"/>
    <n v="460"/>
    <n v="0.08"/>
    <n v="36.799999999999997"/>
    <x v="6"/>
  </r>
  <r>
    <x v="1022"/>
    <x v="7"/>
    <x v="0"/>
    <x v="2"/>
    <n v="10"/>
    <n v="80"/>
    <n v="800"/>
    <n v="0.11"/>
    <n v="88"/>
    <x v="7"/>
  </r>
  <r>
    <x v="1023"/>
    <x v="8"/>
    <x v="3"/>
    <x v="3"/>
    <n v="22"/>
    <n v="16"/>
    <n v="352"/>
    <n v="0.03"/>
    <n v="10.56"/>
    <x v="8"/>
  </r>
  <r>
    <x v="1024"/>
    <x v="8"/>
    <x v="3"/>
    <x v="2"/>
    <n v="9"/>
    <n v="16"/>
    <n v="144"/>
    <n v="0.05"/>
    <n v="7.2"/>
    <x v="9"/>
  </r>
  <r>
    <x v="1025"/>
    <x v="8"/>
    <x v="1"/>
    <x v="2"/>
    <n v="4"/>
    <n v="40"/>
    <n v="160"/>
    <n v="0.1"/>
    <n v="16"/>
    <x v="10"/>
  </r>
  <r>
    <x v="1026"/>
    <x v="8"/>
    <x v="0"/>
    <x v="4"/>
    <n v="9"/>
    <n v="80"/>
    <n v="720"/>
    <n v="0.02"/>
    <n v="14.4"/>
    <x v="11"/>
  </r>
  <r>
    <x v="1027"/>
    <x v="8"/>
    <x v="2"/>
    <x v="2"/>
    <n v="6"/>
    <n v="230"/>
    <n v="1380"/>
    <n v="0.05"/>
    <n v="69"/>
    <x v="0"/>
  </r>
  <r>
    <x v="1028"/>
    <x v="8"/>
    <x v="0"/>
    <x v="3"/>
    <n v="14"/>
    <n v="80"/>
    <n v="1120"/>
    <n v="0.05"/>
    <n v="56"/>
    <x v="1"/>
  </r>
  <r>
    <x v="1029"/>
    <x v="8"/>
    <x v="3"/>
    <x v="4"/>
    <n v="17"/>
    <n v="16"/>
    <n v="272"/>
    <n v="0.08"/>
    <n v="21.76"/>
    <x v="2"/>
  </r>
  <r>
    <x v="1030"/>
    <x v="8"/>
    <x v="4"/>
    <x v="1"/>
    <n v="22"/>
    <n v="150"/>
    <n v="3300"/>
    <n v="0.02"/>
    <n v="66"/>
    <x v="3"/>
  </r>
  <r>
    <x v="1031"/>
    <x v="8"/>
    <x v="1"/>
    <x v="4"/>
    <n v="17"/>
    <n v="40"/>
    <n v="680"/>
    <n v="0.02"/>
    <n v="13.6"/>
    <x v="4"/>
  </r>
  <r>
    <x v="1032"/>
    <x v="8"/>
    <x v="0"/>
    <x v="4"/>
    <n v="17"/>
    <n v="80"/>
    <n v="1360"/>
    <n v="7.0000000000000007E-2"/>
    <n v="95.2"/>
    <x v="5"/>
  </r>
  <r>
    <x v="1033"/>
    <x v="8"/>
    <x v="4"/>
    <x v="3"/>
    <n v="4"/>
    <n v="150"/>
    <n v="600"/>
    <n v="0.12"/>
    <n v="72"/>
    <x v="1"/>
  </r>
  <r>
    <x v="1034"/>
    <x v="8"/>
    <x v="3"/>
    <x v="3"/>
    <n v="14"/>
    <n v="16"/>
    <n v="224"/>
    <n v="0.12"/>
    <n v="26.88"/>
    <x v="2"/>
  </r>
  <r>
    <x v="1035"/>
    <x v="8"/>
    <x v="3"/>
    <x v="0"/>
    <n v="18"/>
    <n v="16"/>
    <n v="288"/>
    <n v="0.11"/>
    <n v="31.68"/>
    <x v="3"/>
  </r>
  <r>
    <x v="1036"/>
    <x v="8"/>
    <x v="0"/>
    <x v="4"/>
    <n v="22"/>
    <n v="80"/>
    <n v="1760"/>
    <n v="0.09"/>
    <n v="158.4"/>
    <x v="4"/>
  </r>
  <r>
    <x v="1037"/>
    <x v="8"/>
    <x v="2"/>
    <x v="1"/>
    <n v="12"/>
    <n v="230"/>
    <n v="2760"/>
    <n v="0.03"/>
    <n v="82.8"/>
    <x v="5"/>
  </r>
  <r>
    <x v="1038"/>
    <x v="8"/>
    <x v="1"/>
    <x v="1"/>
    <n v="12"/>
    <n v="40"/>
    <n v="480"/>
    <n v="0.1"/>
    <n v="48"/>
    <x v="6"/>
  </r>
  <r>
    <x v="1039"/>
    <x v="9"/>
    <x v="1"/>
    <x v="4"/>
    <n v="7"/>
    <n v="40"/>
    <n v="280"/>
    <n v="0.12"/>
    <n v="33.6"/>
    <x v="7"/>
  </r>
  <r>
    <x v="1040"/>
    <x v="9"/>
    <x v="0"/>
    <x v="0"/>
    <n v="12"/>
    <n v="80"/>
    <n v="960"/>
    <n v="0.04"/>
    <n v="38.4"/>
    <x v="8"/>
  </r>
  <r>
    <x v="1041"/>
    <x v="9"/>
    <x v="3"/>
    <x v="4"/>
    <n v="17"/>
    <n v="16"/>
    <n v="272"/>
    <n v="0.1"/>
    <n v="27.2"/>
    <x v="9"/>
  </r>
  <r>
    <x v="1042"/>
    <x v="9"/>
    <x v="2"/>
    <x v="1"/>
    <n v="6"/>
    <n v="230"/>
    <n v="1380"/>
    <n v="0.1"/>
    <n v="138"/>
    <x v="10"/>
  </r>
  <r>
    <x v="1043"/>
    <x v="9"/>
    <x v="1"/>
    <x v="0"/>
    <n v="11"/>
    <n v="40"/>
    <n v="440"/>
    <n v="0.04"/>
    <n v="17.600000000000001"/>
    <x v="11"/>
  </r>
  <r>
    <x v="1044"/>
    <x v="9"/>
    <x v="3"/>
    <x v="3"/>
    <n v="10"/>
    <n v="16"/>
    <n v="160"/>
    <n v="0.04"/>
    <n v="6.4"/>
    <x v="0"/>
  </r>
  <r>
    <x v="1045"/>
    <x v="9"/>
    <x v="0"/>
    <x v="0"/>
    <n v="6"/>
    <n v="80"/>
    <n v="480"/>
    <n v="7.0000000000000007E-2"/>
    <n v="33.6"/>
    <x v="1"/>
  </r>
  <r>
    <x v="1046"/>
    <x v="9"/>
    <x v="1"/>
    <x v="3"/>
    <n v="11"/>
    <n v="40"/>
    <n v="440"/>
    <n v="0.09"/>
    <n v="39.6"/>
    <x v="2"/>
  </r>
  <r>
    <x v="1047"/>
    <x v="9"/>
    <x v="0"/>
    <x v="4"/>
    <n v="16"/>
    <n v="80"/>
    <n v="1280"/>
    <n v="0.09"/>
    <n v="115.2"/>
    <x v="3"/>
  </r>
  <r>
    <x v="1048"/>
    <x v="9"/>
    <x v="1"/>
    <x v="3"/>
    <n v="13"/>
    <n v="40"/>
    <n v="520"/>
    <n v="0.09"/>
    <n v="46.8"/>
    <x v="4"/>
  </r>
  <r>
    <x v="1049"/>
    <x v="9"/>
    <x v="2"/>
    <x v="0"/>
    <n v="5"/>
    <n v="230"/>
    <n v="1150"/>
    <n v="0.1"/>
    <n v="115"/>
    <x v="5"/>
  </r>
  <r>
    <x v="1050"/>
    <x v="10"/>
    <x v="1"/>
    <x v="4"/>
    <n v="7"/>
    <n v="40"/>
    <n v="280"/>
    <n v="0.05"/>
    <n v="14"/>
    <x v="1"/>
  </r>
  <r>
    <x v="1051"/>
    <x v="10"/>
    <x v="0"/>
    <x v="2"/>
    <n v="14"/>
    <n v="80"/>
    <n v="1120"/>
    <n v="0.1"/>
    <n v="112"/>
    <x v="2"/>
  </r>
  <r>
    <x v="1052"/>
    <x v="10"/>
    <x v="3"/>
    <x v="4"/>
    <n v="12"/>
    <n v="16"/>
    <n v="192"/>
    <n v="0.04"/>
    <n v="7.68"/>
    <x v="3"/>
  </r>
  <r>
    <x v="1053"/>
    <x v="10"/>
    <x v="2"/>
    <x v="2"/>
    <n v="14"/>
    <n v="230"/>
    <n v="3220"/>
    <n v="0.03"/>
    <n v="96.6"/>
    <x v="4"/>
  </r>
  <r>
    <x v="1054"/>
    <x v="10"/>
    <x v="0"/>
    <x v="4"/>
    <n v="21"/>
    <n v="80"/>
    <n v="1680"/>
    <n v="0.09"/>
    <n v="151.19999999999999"/>
    <x v="5"/>
  </r>
  <r>
    <x v="1055"/>
    <x v="10"/>
    <x v="2"/>
    <x v="2"/>
    <n v="5"/>
    <n v="230"/>
    <n v="1150"/>
    <n v="0.1"/>
    <n v="115"/>
    <x v="6"/>
  </r>
  <r>
    <x v="1056"/>
    <x v="10"/>
    <x v="1"/>
    <x v="4"/>
    <n v="16"/>
    <n v="40"/>
    <n v="640"/>
    <n v="0.09"/>
    <n v="57.6"/>
    <x v="7"/>
  </r>
  <r>
    <x v="1057"/>
    <x v="10"/>
    <x v="4"/>
    <x v="1"/>
    <n v="15"/>
    <n v="150"/>
    <n v="2250"/>
    <n v="0.12"/>
    <n v="270"/>
    <x v="8"/>
  </r>
  <r>
    <x v="1058"/>
    <x v="10"/>
    <x v="3"/>
    <x v="4"/>
    <n v="23"/>
    <n v="16"/>
    <n v="368"/>
    <n v="0.01"/>
    <n v="3.68"/>
    <x v="9"/>
  </r>
  <r>
    <x v="1059"/>
    <x v="10"/>
    <x v="3"/>
    <x v="1"/>
    <n v="22"/>
    <n v="16"/>
    <n v="352"/>
    <n v="0.04"/>
    <n v="14.08"/>
    <x v="10"/>
  </r>
  <r>
    <x v="1060"/>
    <x v="10"/>
    <x v="0"/>
    <x v="0"/>
    <n v="20"/>
    <n v="80"/>
    <n v="1600"/>
    <n v="0.01"/>
    <n v="16"/>
    <x v="11"/>
  </r>
  <r>
    <x v="1061"/>
    <x v="10"/>
    <x v="1"/>
    <x v="3"/>
    <n v="6"/>
    <n v="40"/>
    <n v="240"/>
    <n v="7.0000000000000007E-2"/>
    <n v="16.8"/>
    <x v="0"/>
  </r>
  <r>
    <x v="1062"/>
    <x v="11"/>
    <x v="4"/>
    <x v="1"/>
    <n v="10"/>
    <n v="150"/>
    <n v="1500"/>
    <n v="0.01"/>
    <n v="15"/>
    <x v="1"/>
  </r>
  <r>
    <x v="1063"/>
    <x v="11"/>
    <x v="0"/>
    <x v="3"/>
    <n v="17"/>
    <n v="80"/>
    <n v="1360"/>
    <n v="0.05"/>
    <n v="68"/>
    <x v="2"/>
  </r>
  <r>
    <x v="1064"/>
    <x v="11"/>
    <x v="4"/>
    <x v="0"/>
    <n v="13"/>
    <n v="150"/>
    <n v="1950"/>
    <n v="0.05"/>
    <n v="97.5"/>
    <x v="3"/>
  </r>
  <r>
    <x v="1065"/>
    <x v="11"/>
    <x v="2"/>
    <x v="3"/>
    <n v="8"/>
    <n v="230"/>
    <n v="1840"/>
    <n v="0.05"/>
    <n v="92"/>
    <x v="4"/>
  </r>
  <r>
    <x v="1066"/>
    <x v="11"/>
    <x v="3"/>
    <x v="0"/>
    <n v="10"/>
    <n v="16"/>
    <n v="160"/>
    <n v="0.08"/>
    <n v="12.8"/>
    <x v="5"/>
  </r>
  <r>
    <x v="1067"/>
    <x v="11"/>
    <x v="1"/>
    <x v="1"/>
    <n v="4"/>
    <n v="40"/>
    <n v="160"/>
    <n v="0.06"/>
    <n v="9.6"/>
    <x v="1"/>
  </r>
  <r>
    <x v="1068"/>
    <x v="11"/>
    <x v="1"/>
    <x v="4"/>
    <n v="18"/>
    <n v="40"/>
    <n v="720"/>
    <n v="0.06"/>
    <n v="43.2"/>
    <x v="2"/>
  </r>
  <r>
    <x v="1069"/>
    <x v="11"/>
    <x v="4"/>
    <x v="3"/>
    <n v="15"/>
    <n v="150"/>
    <n v="2250"/>
    <n v="0.05"/>
    <n v="112.5"/>
    <x v="3"/>
  </r>
  <r>
    <x v="1070"/>
    <x v="11"/>
    <x v="4"/>
    <x v="3"/>
    <n v="3"/>
    <n v="150"/>
    <n v="450"/>
    <n v="0.01"/>
    <n v="4.5"/>
    <x v="4"/>
  </r>
  <r>
    <x v="1071"/>
    <x v="11"/>
    <x v="3"/>
    <x v="0"/>
    <n v="12"/>
    <n v="16"/>
    <n v="192"/>
    <n v="0.11"/>
    <n v="21.12"/>
    <x v="5"/>
  </r>
  <r>
    <x v="1072"/>
    <x v="12"/>
    <x v="0"/>
    <x v="4"/>
    <n v="17"/>
    <n v="80"/>
    <n v="1360"/>
    <n v="7.0000000000000007E-2"/>
    <n v="95.2"/>
    <x v="6"/>
  </r>
  <r>
    <x v="1073"/>
    <x v="12"/>
    <x v="2"/>
    <x v="0"/>
    <n v="3"/>
    <n v="230"/>
    <n v="690"/>
    <n v="0.06"/>
    <n v="41.4"/>
    <x v="7"/>
  </r>
  <r>
    <x v="1074"/>
    <x v="12"/>
    <x v="0"/>
    <x v="2"/>
    <n v="20"/>
    <n v="80"/>
    <n v="1600"/>
    <n v="7.0000000000000007E-2"/>
    <n v="112"/>
    <x v="8"/>
  </r>
  <r>
    <x v="1075"/>
    <x v="12"/>
    <x v="2"/>
    <x v="1"/>
    <n v="14"/>
    <n v="230"/>
    <n v="3220"/>
    <n v="0.05"/>
    <n v="161"/>
    <x v="9"/>
  </r>
  <r>
    <x v="1076"/>
    <x v="12"/>
    <x v="1"/>
    <x v="4"/>
    <n v="16"/>
    <n v="40"/>
    <n v="640"/>
    <n v="0.09"/>
    <n v="57.6"/>
    <x v="10"/>
  </r>
  <r>
    <x v="1077"/>
    <x v="12"/>
    <x v="3"/>
    <x v="1"/>
    <n v="7"/>
    <n v="16"/>
    <n v="112"/>
    <n v="0.08"/>
    <n v="8.9600000000000009"/>
    <x v="11"/>
  </r>
  <r>
    <x v="1078"/>
    <x v="12"/>
    <x v="1"/>
    <x v="1"/>
    <n v="19"/>
    <n v="40"/>
    <n v="760"/>
    <n v="0.1"/>
    <n v="76"/>
    <x v="0"/>
  </r>
  <r>
    <x v="1079"/>
    <x v="12"/>
    <x v="2"/>
    <x v="3"/>
    <n v="7"/>
    <n v="230"/>
    <n v="1610"/>
    <n v="0.06"/>
    <n v="96.6"/>
    <x v="1"/>
  </r>
  <r>
    <x v="1080"/>
    <x v="12"/>
    <x v="1"/>
    <x v="4"/>
    <n v="20"/>
    <n v="40"/>
    <n v="800"/>
    <n v="0.03"/>
    <n v="24"/>
    <x v="2"/>
  </r>
  <r>
    <x v="1081"/>
    <x v="12"/>
    <x v="3"/>
    <x v="2"/>
    <n v="11"/>
    <n v="16"/>
    <n v="176"/>
    <n v="0.12"/>
    <n v="21.12"/>
    <x v="3"/>
  </r>
  <r>
    <x v="1082"/>
    <x v="12"/>
    <x v="0"/>
    <x v="4"/>
    <n v="16"/>
    <n v="80"/>
    <n v="1280"/>
    <n v="0.09"/>
    <n v="115.2"/>
    <x v="4"/>
  </r>
  <r>
    <x v="1083"/>
    <x v="12"/>
    <x v="3"/>
    <x v="0"/>
    <n v="21"/>
    <n v="16"/>
    <n v="336"/>
    <n v="0.09"/>
    <n v="30.24"/>
    <x v="5"/>
  </r>
  <r>
    <x v="1084"/>
    <x v="12"/>
    <x v="3"/>
    <x v="0"/>
    <n v="22"/>
    <n v="16"/>
    <n v="352"/>
    <n v="0.01"/>
    <n v="3.52"/>
    <x v="1"/>
  </r>
  <r>
    <x v="1085"/>
    <x v="12"/>
    <x v="2"/>
    <x v="3"/>
    <n v="23"/>
    <n v="230"/>
    <n v="5290"/>
    <n v="0.06"/>
    <n v="317.39999999999998"/>
    <x v="2"/>
  </r>
  <r>
    <x v="1086"/>
    <x v="12"/>
    <x v="4"/>
    <x v="0"/>
    <n v="9"/>
    <n v="150"/>
    <n v="1350"/>
    <n v="0.1"/>
    <n v="135"/>
    <x v="3"/>
  </r>
  <r>
    <x v="1087"/>
    <x v="12"/>
    <x v="4"/>
    <x v="2"/>
    <n v="9"/>
    <n v="150"/>
    <n v="1350"/>
    <n v="0.06"/>
    <n v="81"/>
    <x v="4"/>
  </r>
  <r>
    <x v="1088"/>
    <x v="13"/>
    <x v="2"/>
    <x v="0"/>
    <n v="9"/>
    <n v="230"/>
    <n v="2070"/>
    <n v="7.0000000000000007E-2"/>
    <n v="144.9"/>
    <x v="5"/>
  </r>
  <r>
    <x v="1089"/>
    <x v="13"/>
    <x v="0"/>
    <x v="2"/>
    <n v="10"/>
    <n v="80"/>
    <n v="800"/>
    <n v="0.08"/>
    <n v="64"/>
    <x v="6"/>
  </r>
  <r>
    <x v="1090"/>
    <x v="13"/>
    <x v="3"/>
    <x v="2"/>
    <n v="23"/>
    <n v="16"/>
    <n v="368"/>
    <n v="0.11"/>
    <n v="40.479999999999997"/>
    <x v="7"/>
  </r>
  <r>
    <x v="1091"/>
    <x v="13"/>
    <x v="0"/>
    <x v="3"/>
    <n v="22"/>
    <n v="80"/>
    <n v="1760"/>
    <n v="0.03"/>
    <n v="52.8"/>
    <x v="8"/>
  </r>
  <r>
    <x v="1092"/>
    <x v="13"/>
    <x v="0"/>
    <x v="3"/>
    <n v="4"/>
    <n v="80"/>
    <n v="320"/>
    <n v="0.11"/>
    <n v="35.200000000000003"/>
    <x v="9"/>
  </r>
  <r>
    <x v="1093"/>
    <x v="13"/>
    <x v="3"/>
    <x v="0"/>
    <n v="22"/>
    <n v="16"/>
    <n v="352"/>
    <n v="0.06"/>
    <n v="21.12"/>
    <x v="10"/>
  </r>
  <r>
    <x v="1094"/>
    <x v="13"/>
    <x v="1"/>
    <x v="1"/>
    <n v="15"/>
    <n v="40"/>
    <n v="600"/>
    <n v="0.02"/>
    <n v="12"/>
    <x v="11"/>
  </r>
  <r>
    <x v="1095"/>
    <x v="13"/>
    <x v="1"/>
    <x v="4"/>
    <n v="7"/>
    <n v="40"/>
    <n v="280"/>
    <n v="0.04"/>
    <n v="11.2"/>
    <x v="0"/>
  </r>
  <r>
    <x v="1096"/>
    <x v="13"/>
    <x v="3"/>
    <x v="4"/>
    <n v="2"/>
    <n v="16"/>
    <n v="32"/>
    <n v="0.04"/>
    <n v="1.28"/>
    <x v="1"/>
  </r>
  <r>
    <x v="1097"/>
    <x v="13"/>
    <x v="0"/>
    <x v="3"/>
    <n v="7"/>
    <n v="80"/>
    <n v="560"/>
    <n v="0.02"/>
    <n v="11.2"/>
    <x v="2"/>
  </r>
  <r>
    <x v="1098"/>
    <x v="14"/>
    <x v="3"/>
    <x v="4"/>
    <n v="22"/>
    <n v="16"/>
    <n v="352"/>
    <n v="0.12"/>
    <n v="42.24"/>
    <x v="3"/>
  </r>
  <r>
    <x v="1099"/>
    <x v="14"/>
    <x v="1"/>
    <x v="1"/>
    <n v="21"/>
    <n v="40"/>
    <n v="840"/>
    <n v="0.03"/>
    <n v="25.2"/>
    <x v="4"/>
  </r>
  <r>
    <x v="1100"/>
    <x v="14"/>
    <x v="0"/>
    <x v="0"/>
    <n v="6"/>
    <n v="80"/>
    <n v="480"/>
    <n v="0.01"/>
    <n v="4.8"/>
    <x v="5"/>
  </r>
  <r>
    <x v="1101"/>
    <x v="14"/>
    <x v="0"/>
    <x v="4"/>
    <n v="13"/>
    <n v="80"/>
    <n v="1040"/>
    <n v="0.05"/>
    <n v="52"/>
    <x v="1"/>
  </r>
  <r>
    <x v="1102"/>
    <x v="14"/>
    <x v="0"/>
    <x v="3"/>
    <n v="11"/>
    <n v="80"/>
    <n v="880"/>
    <n v="0.01"/>
    <n v="8.8000000000000007"/>
    <x v="2"/>
  </r>
  <r>
    <x v="1103"/>
    <x v="14"/>
    <x v="1"/>
    <x v="0"/>
    <n v="18"/>
    <n v="40"/>
    <n v="720"/>
    <n v="0.06"/>
    <n v="43.2"/>
    <x v="3"/>
  </r>
  <r>
    <x v="1104"/>
    <x v="14"/>
    <x v="4"/>
    <x v="3"/>
    <n v="7"/>
    <n v="150"/>
    <n v="1050"/>
    <n v="0.05"/>
    <n v="52.5"/>
    <x v="4"/>
  </r>
  <r>
    <x v="1105"/>
    <x v="14"/>
    <x v="1"/>
    <x v="0"/>
    <n v="2"/>
    <n v="40"/>
    <n v="80"/>
    <n v="0.12"/>
    <n v="9.6"/>
    <x v="5"/>
  </r>
  <r>
    <x v="1106"/>
    <x v="14"/>
    <x v="0"/>
    <x v="1"/>
    <n v="14"/>
    <n v="80"/>
    <n v="1120"/>
    <n v="0.06"/>
    <n v="67.2"/>
    <x v="6"/>
  </r>
  <r>
    <x v="1107"/>
    <x v="14"/>
    <x v="4"/>
    <x v="4"/>
    <n v="7"/>
    <n v="150"/>
    <n v="1050"/>
    <n v="0.03"/>
    <n v="31.5"/>
    <x v="7"/>
  </r>
  <r>
    <x v="1108"/>
    <x v="14"/>
    <x v="3"/>
    <x v="3"/>
    <n v="10"/>
    <n v="16"/>
    <n v="160"/>
    <n v="0.01"/>
    <n v="1.6"/>
    <x v="8"/>
  </r>
  <r>
    <x v="1109"/>
    <x v="15"/>
    <x v="1"/>
    <x v="1"/>
    <n v="7"/>
    <n v="40"/>
    <n v="280"/>
    <n v="0.01"/>
    <n v="2.8"/>
    <x v="9"/>
  </r>
  <r>
    <x v="1110"/>
    <x v="15"/>
    <x v="3"/>
    <x v="3"/>
    <n v="7"/>
    <n v="16"/>
    <n v="112"/>
    <n v="0.08"/>
    <n v="8.9600000000000009"/>
    <x v="10"/>
  </r>
  <r>
    <x v="1111"/>
    <x v="15"/>
    <x v="4"/>
    <x v="2"/>
    <n v="15"/>
    <n v="150"/>
    <n v="2250"/>
    <n v="0.05"/>
    <n v="112.5"/>
    <x v="11"/>
  </r>
  <r>
    <x v="1112"/>
    <x v="15"/>
    <x v="0"/>
    <x v="0"/>
    <n v="7"/>
    <n v="80"/>
    <n v="560"/>
    <n v="0.02"/>
    <n v="11.2"/>
    <x v="0"/>
  </r>
  <r>
    <x v="1113"/>
    <x v="15"/>
    <x v="1"/>
    <x v="2"/>
    <n v="6"/>
    <n v="40"/>
    <n v="240"/>
    <n v="0.06"/>
    <n v="14.4"/>
    <x v="1"/>
  </r>
  <r>
    <x v="1114"/>
    <x v="15"/>
    <x v="2"/>
    <x v="0"/>
    <n v="3"/>
    <n v="230"/>
    <n v="690"/>
    <n v="0.06"/>
    <n v="41.4"/>
    <x v="2"/>
  </r>
  <r>
    <x v="1115"/>
    <x v="15"/>
    <x v="4"/>
    <x v="2"/>
    <n v="20"/>
    <n v="150"/>
    <n v="3000"/>
    <n v="0.04"/>
    <n v="120"/>
    <x v="3"/>
  </r>
  <r>
    <x v="1116"/>
    <x v="15"/>
    <x v="2"/>
    <x v="2"/>
    <n v="20"/>
    <n v="230"/>
    <n v="4600"/>
    <n v="0.06"/>
    <n v="276"/>
    <x v="4"/>
  </r>
  <r>
    <x v="1117"/>
    <x v="15"/>
    <x v="3"/>
    <x v="2"/>
    <n v="14"/>
    <n v="16"/>
    <n v="224"/>
    <n v="0.01"/>
    <n v="2.2400000000000002"/>
    <x v="5"/>
  </r>
  <r>
    <x v="1118"/>
    <x v="15"/>
    <x v="4"/>
    <x v="2"/>
    <n v="20"/>
    <n v="150"/>
    <n v="3000"/>
    <n v="0.04"/>
    <n v="120"/>
    <x v="1"/>
  </r>
  <r>
    <x v="1119"/>
    <x v="15"/>
    <x v="0"/>
    <x v="0"/>
    <n v="17"/>
    <n v="80"/>
    <n v="1360"/>
    <n v="0.09"/>
    <n v="122.4"/>
    <x v="2"/>
  </r>
  <r>
    <x v="1120"/>
    <x v="16"/>
    <x v="4"/>
    <x v="2"/>
    <n v="20"/>
    <n v="150"/>
    <n v="3000"/>
    <n v="0.12"/>
    <n v="360"/>
    <x v="3"/>
  </r>
  <r>
    <x v="1121"/>
    <x v="16"/>
    <x v="3"/>
    <x v="2"/>
    <n v="11"/>
    <n v="16"/>
    <n v="176"/>
    <n v="0.04"/>
    <n v="7.04"/>
    <x v="4"/>
  </r>
  <r>
    <x v="1122"/>
    <x v="16"/>
    <x v="2"/>
    <x v="4"/>
    <n v="7"/>
    <n v="230"/>
    <n v="1610"/>
    <n v="0.05"/>
    <n v="80.5"/>
    <x v="5"/>
  </r>
  <r>
    <x v="1123"/>
    <x v="16"/>
    <x v="1"/>
    <x v="1"/>
    <n v="14"/>
    <n v="40"/>
    <n v="560"/>
    <n v="0.06"/>
    <n v="33.6"/>
    <x v="6"/>
  </r>
  <r>
    <x v="1124"/>
    <x v="16"/>
    <x v="0"/>
    <x v="1"/>
    <n v="13"/>
    <n v="80"/>
    <n v="1040"/>
    <n v="0.06"/>
    <n v="62.4"/>
    <x v="7"/>
  </r>
  <r>
    <x v="1125"/>
    <x v="16"/>
    <x v="3"/>
    <x v="2"/>
    <n v="17"/>
    <n v="16"/>
    <n v="272"/>
    <n v="0.05"/>
    <n v="13.6"/>
    <x v="8"/>
  </r>
  <r>
    <x v="1126"/>
    <x v="16"/>
    <x v="2"/>
    <x v="2"/>
    <n v="12"/>
    <n v="230"/>
    <n v="2760"/>
    <n v="0.03"/>
    <n v="82.8"/>
    <x v="9"/>
  </r>
  <r>
    <x v="1127"/>
    <x v="16"/>
    <x v="1"/>
    <x v="1"/>
    <n v="4"/>
    <n v="40"/>
    <n v="160"/>
    <n v="0.12"/>
    <n v="19.2"/>
    <x v="10"/>
  </r>
  <r>
    <x v="1128"/>
    <x v="16"/>
    <x v="3"/>
    <x v="0"/>
    <n v="20"/>
    <n v="16"/>
    <n v="320"/>
    <n v="0.01"/>
    <n v="3.2"/>
    <x v="11"/>
  </r>
  <r>
    <x v="1129"/>
    <x v="16"/>
    <x v="0"/>
    <x v="3"/>
    <n v="8"/>
    <n v="80"/>
    <n v="640"/>
    <n v="0.06"/>
    <n v="38.4"/>
    <x v="0"/>
  </r>
  <r>
    <x v="1130"/>
    <x v="16"/>
    <x v="0"/>
    <x v="0"/>
    <n v="18"/>
    <n v="80"/>
    <n v="1440"/>
    <n v="0.02"/>
    <n v="28.8"/>
    <x v="1"/>
  </r>
  <r>
    <x v="1131"/>
    <x v="16"/>
    <x v="3"/>
    <x v="2"/>
    <n v="6"/>
    <n v="16"/>
    <n v="96"/>
    <n v="0.06"/>
    <n v="5.76"/>
    <x v="2"/>
  </r>
  <r>
    <x v="1132"/>
    <x v="16"/>
    <x v="0"/>
    <x v="0"/>
    <n v="9"/>
    <n v="80"/>
    <n v="720"/>
    <n v="0.04"/>
    <n v="28.8"/>
    <x v="3"/>
  </r>
  <r>
    <x v="1133"/>
    <x v="17"/>
    <x v="0"/>
    <x v="2"/>
    <n v="8"/>
    <n v="80"/>
    <n v="640"/>
    <n v="0.02"/>
    <n v="12.8"/>
    <x v="4"/>
  </r>
  <r>
    <x v="1134"/>
    <x v="17"/>
    <x v="4"/>
    <x v="3"/>
    <n v="6"/>
    <n v="150"/>
    <n v="900"/>
    <n v="0.03"/>
    <n v="27"/>
    <x v="5"/>
  </r>
  <r>
    <x v="1135"/>
    <x v="17"/>
    <x v="3"/>
    <x v="3"/>
    <n v="14"/>
    <n v="16"/>
    <n v="224"/>
    <n v="0.12"/>
    <n v="26.88"/>
    <x v="1"/>
  </r>
  <r>
    <x v="1136"/>
    <x v="17"/>
    <x v="0"/>
    <x v="2"/>
    <n v="6"/>
    <n v="80"/>
    <n v="480"/>
    <n v="0.09"/>
    <n v="43.2"/>
    <x v="2"/>
  </r>
  <r>
    <x v="1137"/>
    <x v="17"/>
    <x v="1"/>
    <x v="4"/>
    <n v="23"/>
    <n v="40"/>
    <n v="920"/>
    <n v="0.04"/>
    <n v="36.799999999999997"/>
    <x v="3"/>
  </r>
  <r>
    <x v="1138"/>
    <x v="17"/>
    <x v="1"/>
    <x v="2"/>
    <n v="12"/>
    <n v="40"/>
    <n v="480"/>
    <n v="0.02"/>
    <n v="9.6"/>
    <x v="4"/>
  </r>
  <r>
    <x v="1139"/>
    <x v="17"/>
    <x v="1"/>
    <x v="3"/>
    <n v="22"/>
    <n v="40"/>
    <n v="880"/>
    <n v="0.01"/>
    <n v="8.8000000000000007"/>
    <x v="5"/>
  </r>
  <r>
    <x v="1140"/>
    <x v="17"/>
    <x v="4"/>
    <x v="3"/>
    <n v="6"/>
    <n v="150"/>
    <n v="900"/>
    <n v="0.03"/>
    <n v="27"/>
    <x v="6"/>
  </r>
  <r>
    <x v="1141"/>
    <x v="17"/>
    <x v="3"/>
    <x v="4"/>
    <n v="19"/>
    <n v="16"/>
    <n v="304"/>
    <n v="0.02"/>
    <n v="6.08"/>
    <x v="7"/>
  </r>
  <r>
    <x v="1142"/>
    <x v="17"/>
    <x v="1"/>
    <x v="2"/>
    <n v="2"/>
    <n v="40"/>
    <n v="80"/>
    <n v="0.02"/>
    <n v="1.6"/>
    <x v="8"/>
  </r>
  <r>
    <x v="1143"/>
    <x v="18"/>
    <x v="1"/>
    <x v="3"/>
    <n v="22"/>
    <n v="40"/>
    <n v="880"/>
    <n v="0.01"/>
    <n v="8.8000000000000007"/>
    <x v="9"/>
  </r>
  <r>
    <x v="1144"/>
    <x v="18"/>
    <x v="2"/>
    <x v="3"/>
    <n v="3"/>
    <n v="230"/>
    <n v="690"/>
    <n v="0.01"/>
    <n v="6.9"/>
    <x v="10"/>
  </r>
  <r>
    <x v="1145"/>
    <x v="18"/>
    <x v="1"/>
    <x v="3"/>
    <n v="23"/>
    <n v="40"/>
    <n v="920"/>
    <n v="0.06"/>
    <n v="55.2"/>
    <x v="11"/>
  </r>
  <r>
    <x v="1146"/>
    <x v="18"/>
    <x v="1"/>
    <x v="4"/>
    <n v="5"/>
    <n v="40"/>
    <n v="200"/>
    <n v="0.03"/>
    <n v="6"/>
    <x v="0"/>
  </r>
  <r>
    <x v="1147"/>
    <x v="18"/>
    <x v="0"/>
    <x v="0"/>
    <n v="8"/>
    <n v="80"/>
    <n v="640"/>
    <n v="0.08"/>
    <n v="51.2"/>
    <x v="1"/>
  </r>
  <r>
    <x v="1148"/>
    <x v="18"/>
    <x v="1"/>
    <x v="2"/>
    <n v="18"/>
    <n v="40"/>
    <n v="720"/>
    <n v="0.03"/>
    <n v="21.6"/>
    <x v="2"/>
  </r>
  <r>
    <x v="1149"/>
    <x v="18"/>
    <x v="1"/>
    <x v="4"/>
    <n v="20"/>
    <n v="40"/>
    <n v="800"/>
    <n v="0.1"/>
    <n v="80"/>
    <x v="3"/>
  </r>
  <r>
    <x v="1150"/>
    <x v="18"/>
    <x v="1"/>
    <x v="2"/>
    <n v="2"/>
    <n v="40"/>
    <n v="80"/>
    <n v="0.03"/>
    <n v="2.4"/>
    <x v="4"/>
  </r>
  <r>
    <x v="1151"/>
    <x v="18"/>
    <x v="2"/>
    <x v="0"/>
    <n v="15"/>
    <n v="230"/>
    <n v="3450"/>
    <n v="0.05"/>
    <n v="172.5"/>
    <x v="5"/>
  </r>
  <r>
    <x v="1152"/>
    <x v="18"/>
    <x v="4"/>
    <x v="3"/>
    <n v="15"/>
    <n v="150"/>
    <n v="2250"/>
    <n v="0.08"/>
    <n v="180"/>
    <x v="1"/>
  </r>
  <r>
    <x v="1153"/>
    <x v="18"/>
    <x v="4"/>
    <x v="3"/>
    <n v="22"/>
    <n v="150"/>
    <n v="3300"/>
    <n v="0.05"/>
    <n v="165"/>
    <x v="2"/>
  </r>
  <r>
    <x v="1154"/>
    <x v="18"/>
    <x v="2"/>
    <x v="1"/>
    <n v="19"/>
    <n v="230"/>
    <n v="4370"/>
    <n v="0.11"/>
    <n v="480.7"/>
    <x v="3"/>
  </r>
  <r>
    <x v="1155"/>
    <x v="18"/>
    <x v="0"/>
    <x v="1"/>
    <n v="10"/>
    <n v="80"/>
    <n v="800"/>
    <n v="0.11"/>
    <n v="88"/>
    <x v="4"/>
  </r>
  <r>
    <x v="1156"/>
    <x v="18"/>
    <x v="1"/>
    <x v="3"/>
    <n v="18"/>
    <n v="40"/>
    <n v="720"/>
    <n v="0.06"/>
    <n v="43.2"/>
    <x v="5"/>
  </r>
  <r>
    <x v="1157"/>
    <x v="18"/>
    <x v="0"/>
    <x v="3"/>
    <n v="16"/>
    <n v="80"/>
    <n v="1280"/>
    <n v="0.05"/>
    <n v="64"/>
    <x v="6"/>
  </r>
  <r>
    <x v="1158"/>
    <x v="18"/>
    <x v="4"/>
    <x v="4"/>
    <n v="17"/>
    <n v="150"/>
    <n v="2550"/>
    <n v="0.02"/>
    <n v="51"/>
    <x v="7"/>
  </r>
  <r>
    <x v="1159"/>
    <x v="19"/>
    <x v="2"/>
    <x v="0"/>
    <n v="8"/>
    <n v="230"/>
    <n v="1840"/>
    <n v="0.03"/>
    <n v="55.2"/>
    <x v="8"/>
  </r>
  <r>
    <x v="1160"/>
    <x v="19"/>
    <x v="0"/>
    <x v="3"/>
    <n v="11"/>
    <n v="80"/>
    <n v="880"/>
    <n v="0.01"/>
    <n v="8.8000000000000007"/>
    <x v="9"/>
  </r>
  <r>
    <x v="1161"/>
    <x v="19"/>
    <x v="1"/>
    <x v="0"/>
    <n v="5"/>
    <n v="40"/>
    <n v="200"/>
    <n v="0.06"/>
    <n v="12"/>
    <x v="10"/>
  </r>
  <r>
    <x v="1162"/>
    <x v="19"/>
    <x v="1"/>
    <x v="4"/>
    <n v="11"/>
    <n v="40"/>
    <n v="440"/>
    <n v="0.05"/>
    <n v="22"/>
    <x v="11"/>
  </r>
  <r>
    <x v="1163"/>
    <x v="19"/>
    <x v="4"/>
    <x v="3"/>
    <n v="20"/>
    <n v="150"/>
    <n v="3000"/>
    <n v="0.1"/>
    <n v="300"/>
    <x v="0"/>
  </r>
  <r>
    <x v="1164"/>
    <x v="19"/>
    <x v="4"/>
    <x v="2"/>
    <n v="11"/>
    <n v="150"/>
    <n v="1650"/>
    <n v="0.11"/>
    <n v="181.5"/>
    <x v="1"/>
  </r>
  <r>
    <x v="1165"/>
    <x v="19"/>
    <x v="0"/>
    <x v="3"/>
    <n v="2"/>
    <n v="80"/>
    <n v="160"/>
    <n v="0.08"/>
    <n v="12.8"/>
    <x v="2"/>
  </r>
  <r>
    <x v="1166"/>
    <x v="19"/>
    <x v="4"/>
    <x v="1"/>
    <n v="16"/>
    <n v="150"/>
    <n v="2400"/>
    <n v="0.08"/>
    <n v="192"/>
    <x v="3"/>
  </r>
  <r>
    <x v="1167"/>
    <x v="19"/>
    <x v="3"/>
    <x v="0"/>
    <n v="20"/>
    <n v="16"/>
    <n v="320"/>
    <n v="0.11"/>
    <n v="35.200000000000003"/>
    <x v="4"/>
  </r>
  <r>
    <x v="1168"/>
    <x v="19"/>
    <x v="2"/>
    <x v="2"/>
    <n v="2"/>
    <n v="230"/>
    <n v="460"/>
    <n v="0.09"/>
    <n v="41.4"/>
    <x v="5"/>
  </r>
  <r>
    <x v="1169"/>
    <x v="19"/>
    <x v="4"/>
    <x v="0"/>
    <n v="20"/>
    <n v="150"/>
    <n v="3000"/>
    <n v="0.04"/>
    <n v="120"/>
    <x v="1"/>
  </r>
  <r>
    <x v="1170"/>
    <x v="19"/>
    <x v="4"/>
    <x v="0"/>
    <n v="22"/>
    <n v="150"/>
    <n v="3300"/>
    <n v="7.0000000000000007E-2"/>
    <n v="231"/>
    <x v="2"/>
  </r>
  <r>
    <x v="1171"/>
    <x v="19"/>
    <x v="4"/>
    <x v="2"/>
    <n v="22"/>
    <n v="150"/>
    <n v="3300"/>
    <n v="0.04"/>
    <n v="132"/>
    <x v="3"/>
  </r>
  <r>
    <x v="1172"/>
    <x v="19"/>
    <x v="1"/>
    <x v="0"/>
    <n v="23"/>
    <n v="40"/>
    <n v="920"/>
    <n v="7.0000000000000007E-2"/>
    <n v="64.400000000000006"/>
    <x v="4"/>
  </r>
  <r>
    <x v="1173"/>
    <x v="20"/>
    <x v="3"/>
    <x v="2"/>
    <n v="11"/>
    <n v="16"/>
    <n v="176"/>
    <n v="0.04"/>
    <n v="7.04"/>
    <x v="5"/>
  </r>
  <r>
    <x v="1174"/>
    <x v="20"/>
    <x v="2"/>
    <x v="1"/>
    <n v="11"/>
    <n v="230"/>
    <n v="2530"/>
    <n v="0.1"/>
    <n v="253"/>
    <x v="6"/>
  </r>
  <r>
    <x v="1175"/>
    <x v="20"/>
    <x v="2"/>
    <x v="0"/>
    <n v="7"/>
    <n v="230"/>
    <n v="1610"/>
    <n v="0.08"/>
    <n v="128.80000000000001"/>
    <x v="7"/>
  </r>
  <r>
    <x v="1176"/>
    <x v="20"/>
    <x v="4"/>
    <x v="1"/>
    <n v="13"/>
    <n v="150"/>
    <n v="1950"/>
    <n v="0.08"/>
    <n v="156"/>
    <x v="8"/>
  </r>
  <r>
    <x v="1177"/>
    <x v="20"/>
    <x v="2"/>
    <x v="3"/>
    <n v="16"/>
    <n v="230"/>
    <n v="3680"/>
    <n v="0.11"/>
    <n v="404.8"/>
    <x v="9"/>
  </r>
  <r>
    <x v="1178"/>
    <x v="20"/>
    <x v="2"/>
    <x v="4"/>
    <n v="20"/>
    <n v="230"/>
    <n v="4600"/>
    <n v="0.09"/>
    <n v="414"/>
    <x v="10"/>
  </r>
  <r>
    <x v="1179"/>
    <x v="20"/>
    <x v="1"/>
    <x v="2"/>
    <n v="20"/>
    <n v="40"/>
    <n v="800"/>
    <n v="0.01"/>
    <n v="8"/>
    <x v="11"/>
  </r>
  <r>
    <x v="1180"/>
    <x v="20"/>
    <x v="0"/>
    <x v="0"/>
    <n v="20"/>
    <n v="80"/>
    <n v="1600"/>
    <n v="0.01"/>
    <n v="16"/>
    <x v="0"/>
  </r>
  <r>
    <x v="1181"/>
    <x v="20"/>
    <x v="4"/>
    <x v="0"/>
    <n v="5"/>
    <n v="150"/>
    <n v="750"/>
    <n v="0.11"/>
    <n v="82.5"/>
    <x v="1"/>
  </r>
  <r>
    <x v="1182"/>
    <x v="21"/>
    <x v="1"/>
    <x v="2"/>
    <n v="4"/>
    <n v="40"/>
    <n v="160"/>
    <n v="0.11"/>
    <n v="17.600000000000001"/>
    <x v="2"/>
  </r>
  <r>
    <x v="1183"/>
    <x v="21"/>
    <x v="3"/>
    <x v="0"/>
    <n v="7"/>
    <n v="16"/>
    <n v="112"/>
    <n v="0.12"/>
    <n v="13.44"/>
    <x v="3"/>
  </r>
  <r>
    <x v="1184"/>
    <x v="21"/>
    <x v="3"/>
    <x v="1"/>
    <n v="22"/>
    <n v="16"/>
    <n v="352"/>
    <n v="0.01"/>
    <n v="3.52"/>
    <x v="4"/>
  </r>
  <r>
    <x v="1185"/>
    <x v="21"/>
    <x v="1"/>
    <x v="3"/>
    <n v="15"/>
    <n v="40"/>
    <n v="600"/>
    <n v="0.03"/>
    <n v="18"/>
    <x v="5"/>
  </r>
  <r>
    <x v="1186"/>
    <x v="21"/>
    <x v="0"/>
    <x v="1"/>
    <n v="14"/>
    <n v="80"/>
    <n v="1120"/>
    <n v="0.11"/>
    <n v="123.2"/>
    <x v="1"/>
  </r>
  <r>
    <x v="1187"/>
    <x v="21"/>
    <x v="3"/>
    <x v="1"/>
    <n v="15"/>
    <n v="16"/>
    <n v="240"/>
    <n v="0.02"/>
    <n v="4.8"/>
    <x v="2"/>
  </r>
  <r>
    <x v="1188"/>
    <x v="22"/>
    <x v="0"/>
    <x v="3"/>
    <n v="19"/>
    <n v="80"/>
    <n v="1520"/>
    <n v="0.02"/>
    <n v="30.4"/>
    <x v="3"/>
  </r>
  <r>
    <x v="1189"/>
    <x v="22"/>
    <x v="1"/>
    <x v="4"/>
    <n v="20"/>
    <n v="40"/>
    <n v="800"/>
    <n v="0.05"/>
    <n v="40"/>
    <x v="4"/>
  </r>
  <r>
    <x v="1190"/>
    <x v="22"/>
    <x v="1"/>
    <x v="3"/>
    <n v="11"/>
    <n v="40"/>
    <n v="440"/>
    <n v="0.06"/>
    <n v="26.4"/>
    <x v="5"/>
  </r>
  <r>
    <x v="1191"/>
    <x v="22"/>
    <x v="4"/>
    <x v="2"/>
    <n v="11"/>
    <n v="150"/>
    <n v="1650"/>
    <n v="0.05"/>
    <n v="82.5"/>
    <x v="6"/>
  </r>
  <r>
    <x v="1192"/>
    <x v="22"/>
    <x v="0"/>
    <x v="3"/>
    <n v="23"/>
    <n v="80"/>
    <n v="1840"/>
    <n v="0.11"/>
    <n v="202.4"/>
    <x v="7"/>
  </r>
  <r>
    <x v="1193"/>
    <x v="22"/>
    <x v="0"/>
    <x v="0"/>
    <n v="8"/>
    <n v="80"/>
    <n v="640"/>
    <n v="0.09"/>
    <n v="57.6"/>
    <x v="8"/>
  </r>
  <r>
    <x v="1194"/>
    <x v="22"/>
    <x v="1"/>
    <x v="3"/>
    <n v="9"/>
    <n v="40"/>
    <n v="360"/>
    <n v="0.06"/>
    <n v="21.6"/>
    <x v="9"/>
  </r>
  <r>
    <x v="1195"/>
    <x v="22"/>
    <x v="2"/>
    <x v="4"/>
    <n v="13"/>
    <n v="230"/>
    <n v="2990"/>
    <n v="0.06"/>
    <n v="179.4"/>
    <x v="10"/>
  </r>
  <r>
    <x v="1196"/>
    <x v="22"/>
    <x v="1"/>
    <x v="3"/>
    <n v="22"/>
    <n v="40"/>
    <n v="880"/>
    <n v="0.01"/>
    <n v="8.8000000000000007"/>
    <x v="11"/>
  </r>
  <r>
    <x v="1197"/>
    <x v="22"/>
    <x v="3"/>
    <x v="4"/>
    <n v="14"/>
    <n v="16"/>
    <n v="224"/>
    <n v="0.06"/>
    <n v="13.44"/>
    <x v="0"/>
  </r>
  <r>
    <x v="1198"/>
    <x v="23"/>
    <x v="0"/>
    <x v="1"/>
    <n v="5"/>
    <n v="80"/>
    <n v="400"/>
    <n v="0.04"/>
    <n v="16"/>
    <x v="1"/>
  </r>
  <r>
    <x v="1199"/>
    <x v="23"/>
    <x v="4"/>
    <x v="4"/>
    <n v="18"/>
    <n v="150"/>
    <n v="2700"/>
    <n v="0.12"/>
    <n v="324"/>
    <x v="2"/>
  </r>
  <r>
    <x v="1200"/>
    <x v="23"/>
    <x v="2"/>
    <x v="2"/>
    <n v="14"/>
    <n v="230"/>
    <n v="3220"/>
    <n v="0.12"/>
    <n v="386.4"/>
    <x v="3"/>
  </r>
  <r>
    <x v="1201"/>
    <x v="23"/>
    <x v="2"/>
    <x v="4"/>
    <n v="20"/>
    <n v="230"/>
    <n v="4600"/>
    <n v="0.11"/>
    <n v="506"/>
    <x v="4"/>
  </r>
  <r>
    <x v="1202"/>
    <x v="23"/>
    <x v="3"/>
    <x v="4"/>
    <n v="3"/>
    <n v="16"/>
    <n v="48"/>
    <n v="0.03"/>
    <n v="1.44"/>
    <x v="5"/>
  </r>
  <r>
    <x v="1203"/>
    <x v="23"/>
    <x v="2"/>
    <x v="2"/>
    <n v="20"/>
    <n v="230"/>
    <n v="4600"/>
    <n v="0.06"/>
    <n v="276"/>
    <x v="1"/>
  </r>
  <r>
    <x v="1204"/>
    <x v="23"/>
    <x v="0"/>
    <x v="4"/>
    <n v="9"/>
    <n v="80"/>
    <n v="720"/>
    <n v="0.02"/>
    <n v="14.4"/>
    <x v="2"/>
  </r>
  <r>
    <x v="1205"/>
    <x v="23"/>
    <x v="3"/>
    <x v="3"/>
    <n v="22"/>
    <n v="16"/>
    <n v="352"/>
    <n v="0.03"/>
    <n v="10.56"/>
    <x v="3"/>
  </r>
  <r>
    <x v="1206"/>
    <x v="23"/>
    <x v="0"/>
    <x v="1"/>
    <n v="15"/>
    <n v="80"/>
    <n v="1200"/>
    <n v="0.12"/>
    <n v="144"/>
    <x v="4"/>
  </r>
  <r>
    <x v="1207"/>
    <x v="23"/>
    <x v="4"/>
    <x v="0"/>
    <n v="11"/>
    <n v="150"/>
    <n v="1650"/>
    <n v="0.05"/>
    <n v="82.5"/>
    <x v="5"/>
  </r>
  <r>
    <x v="1208"/>
    <x v="23"/>
    <x v="2"/>
    <x v="3"/>
    <n v="11"/>
    <n v="230"/>
    <n v="2530"/>
    <n v="0.12"/>
    <n v="303.60000000000002"/>
    <x v="6"/>
  </r>
  <r>
    <x v="1209"/>
    <x v="23"/>
    <x v="4"/>
    <x v="0"/>
    <n v="20"/>
    <n v="150"/>
    <n v="3000"/>
    <n v="0.01"/>
    <n v="30"/>
    <x v="7"/>
  </r>
  <r>
    <x v="1210"/>
    <x v="23"/>
    <x v="1"/>
    <x v="2"/>
    <n v="11"/>
    <n v="40"/>
    <n v="440"/>
    <n v="0.12"/>
    <n v="52.8"/>
    <x v="8"/>
  </r>
  <r>
    <x v="1211"/>
    <x v="24"/>
    <x v="2"/>
    <x v="2"/>
    <n v="12"/>
    <n v="230"/>
    <n v="2760"/>
    <n v="0.06"/>
    <n v="165.6"/>
    <x v="9"/>
  </r>
  <r>
    <x v="1212"/>
    <x v="24"/>
    <x v="1"/>
    <x v="0"/>
    <n v="15"/>
    <n v="40"/>
    <n v="600"/>
    <n v="0.06"/>
    <n v="36"/>
    <x v="10"/>
  </r>
  <r>
    <x v="1213"/>
    <x v="24"/>
    <x v="1"/>
    <x v="3"/>
    <n v="13"/>
    <n v="40"/>
    <n v="520"/>
    <n v="0.09"/>
    <n v="46.8"/>
    <x v="11"/>
  </r>
  <r>
    <x v="1214"/>
    <x v="24"/>
    <x v="1"/>
    <x v="4"/>
    <n v="4"/>
    <n v="40"/>
    <n v="160"/>
    <n v="0.09"/>
    <n v="14.4"/>
    <x v="0"/>
  </r>
  <r>
    <x v="1215"/>
    <x v="24"/>
    <x v="2"/>
    <x v="3"/>
    <n v="18"/>
    <n v="230"/>
    <n v="4140"/>
    <n v="0.01"/>
    <n v="41.4"/>
    <x v="1"/>
  </r>
  <r>
    <x v="1216"/>
    <x v="24"/>
    <x v="3"/>
    <x v="0"/>
    <n v="7"/>
    <n v="16"/>
    <n v="112"/>
    <n v="0.02"/>
    <n v="2.2400000000000002"/>
    <x v="2"/>
  </r>
  <r>
    <x v="1217"/>
    <x v="24"/>
    <x v="3"/>
    <x v="2"/>
    <n v="6"/>
    <n v="16"/>
    <n v="96"/>
    <n v="7.0000000000000007E-2"/>
    <n v="6.72"/>
    <x v="3"/>
  </r>
  <r>
    <x v="1218"/>
    <x v="24"/>
    <x v="2"/>
    <x v="3"/>
    <n v="8"/>
    <n v="230"/>
    <n v="1840"/>
    <n v="0.05"/>
    <n v="92"/>
    <x v="4"/>
  </r>
  <r>
    <x v="1219"/>
    <x v="24"/>
    <x v="3"/>
    <x v="2"/>
    <n v="12"/>
    <n v="16"/>
    <n v="192"/>
    <n v="0.11"/>
    <n v="21.12"/>
    <x v="5"/>
  </r>
  <r>
    <x v="1220"/>
    <x v="24"/>
    <x v="2"/>
    <x v="0"/>
    <n v="11"/>
    <n v="230"/>
    <n v="2530"/>
    <n v="0.02"/>
    <n v="50.6"/>
    <x v="1"/>
  </r>
  <r>
    <x v="1221"/>
    <x v="24"/>
    <x v="3"/>
    <x v="2"/>
    <n v="3"/>
    <n v="16"/>
    <n v="48"/>
    <n v="0.05"/>
    <n v="2.4"/>
    <x v="2"/>
  </r>
  <r>
    <x v="1222"/>
    <x v="25"/>
    <x v="4"/>
    <x v="1"/>
    <n v="16"/>
    <n v="150"/>
    <n v="2400"/>
    <n v="0.05"/>
    <n v="120"/>
    <x v="3"/>
  </r>
  <r>
    <x v="1223"/>
    <x v="25"/>
    <x v="2"/>
    <x v="3"/>
    <n v="8"/>
    <n v="230"/>
    <n v="1840"/>
    <n v="0.01"/>
    <n v="18.399999999999999"/>
    <x v="4"/>
  </r>
  <r>
    <x v="1224"/>
    <x v="25"/>
    <x v="0"/>
    <x v="2"/>
    <n v="16"/>
    <n v="80"/>
    <n v="1280"/>
    <n v="0.04"/>
    <n v="51.2"/>
    <x v="5"/>
  </r>
  <r>
    <x v="1225"/>
    <x v="25"/>
    <x v="3"/>
    <x v="3"/>
    <n v="18"/>
    <n v="16"/>
    <n v="288"/>
    <n v="0.04"/>
    <n v="11.52"/>
    <x v="6"/>
  </r>
  <r>
    <x v="1226"/>
    <x v="25"/>
    <x v="1"/>
    <x v="4"/>
    <n v="14"/>
    <n v="40"/>
    <n v="560"/>
    <n v="0.11"/>
    <n v="61.6"/>
    <x v="7"/>
  </r>
  <r>
    <x v="1227"/>
    <x v="25"/>
    <x v="3"/>
    <x v="1"/>
    <n v="21"/>
    <n v="16"/>
    <n v="336"/>
    <n v="0.02"/>
    <n v="6.72"/>
    <x v="8"/>
  </r>
  <r>
    <x v="1228"/>
    <x v="25"/>
    <x v="3"/>
    <x v="1"/>
    <n v="7"/>
    <n v="16"/>
    <n v="112"/>
    <n v="0.08"/>
    <n v="8.9600000000000009"/>
    <x v="9"/>
  </r>
  <r>
    <x v="1229"/>
    <x v="25"/>
    <x v="0"/>
    <x v="2"/>
    <n v="7"/>
    <n v="80"/>
    <n v="560"/>
    <n v="0.05"/>
    <n v="28"/>
    <x v="10"/>
  </r>
  <r>
    <x v="1230"/>
    <x v="25"/>
    <x v="1"/>
    <x v="4"/>
    <n v="16"/>
    <n v="40"/>
    <n v="640"/>
    <n v="0.09"/>
    <n v="57.6"/>
    <x v="11"/>
  </r>
  <r>
    <x v="1231"/>
    <x v="25"/>
    <x v="2"/>
    <x v="4"/>
    <n v="22"/>
    <n v="230"/>
    <n v="5060"/>
    <n v="0.1"/>
    <n v="506"/>
    <x v="0"/>
  </r>
  <r>
    <x v="1232"/>
    <x v="25"/>
    <x v="1"/>
    <x v="1"/>
    <n v="4"/>
    <n v="40"/>
    <n v="160"/>
    <n v="0.03"/>
    <n v="4.8"/>
    <x v="1"/>
  </r>
  <r>
    <x v="1233"/>
    <x v="25"/>
    <x v="2"/>
    <x v="4"/>
    <n v="3"/>
    <n v="230"/>
    <n v="690"/>
    <n v="0.1"/>
    <n v="69"/>
    <x v="2"/>
  </r>
  <r>
    <x v="1234"/>
    <x v="25"/>
    <x v="0"/>
    <x v="1"/>
    <n v="14"/>
    <n v="80"/>
    <n v="1120"/>
    <n v="0.11"/>
    <n v="123.2"/>
    <x v="3"/>
  </r>
  <r>
    <x v="1235"/>
    <x v="26"/>
    <x v="1"/>
    <x v="4"/>
    <n v="21"/>
    <n v="40"/>
    <n v="840"/>
    <n v="0.01"/>
    <n v="8.4"/>
    <x v="4"/>
  </r>
  <r>
    <x v="1236"/>
    <x v="26"/>
    <x v="3"/>
    <x v="1"/>
    <n v="20"/>
    <n v="16"/>
    <n v="320"/>
    <n v="0.06"/>
    <n v="19.2"/>
    <x v="5"/>
  </r>
  <r>
    <x v="1237"/>
    <x v="26"/>
    <x v="0"/>
    <x v="4"/>
    <n v="22"/>
    <n v="80"/>
    <n v="1760"/>
    <n v="0.11"/>
    <n v="193.6"/>
    <x v="1"/>
  </r>
  <r>
    <x v="1238"/>
    <x v="26"/>
    <x v="1"/>
    <x v="0"/>
    <n v="7"/>
    <n v="40"/>
    <n v="280"/>
    <n v="0.1"/>
    <n v="28"/>
    <x v="2"/>
  </r>
  <r>
    <x v="1239"/>
    <x v="26"/>
    <x v="4"/>
    <x v="1"/>
    <n v="16"/>
    <n v="150"/>
    <n v="2400"/>
    <n v="0.05"/>
    <n v="120"/>
    <x v="3"/>
  </r>
  <r>
    <x v="1240"/>
    <x v="26"/>
    <x v="2"/>
    <x v="1"/>
    <n v="7"/>
    <n v="230"/>
    <n v="1610"/>
    <n v="0.05"/>
    <n v="80.5"/>
    <x v="4"/>
  </r>
  <r>
    <x v="1241"/>
    <x v="26"/>
    <x v="4"/>
    <x v="0"/>
    <n v="20"/>
    <n v="150"/>
    <n v="3000"/>
    <n v="0.03"/>
    <n v="90"/>
    <x v="5"/>
  </r>
  <r>
    <x v="1242"/>
    <x v="26"/>
    <x v="4"/>
    <x v="1"/>
    <n v="16"/>
    <n v="150"/>
    <n v="2400"/>
    <n v="0.03"/>
    <n v="72"/>
    <x v="6"/>
  </r>
  <r>
    <x v="1243"/>
    <x v="26"/>
    <x v="3"/>
    <x v="3"/>
    <n v="10"/>
    <n v="16"/>
    <n v="160"/>
    <n v="0.04"/>
    <n v="6.4"/>
    <x v="7"/>
  </r>
  <r>
    <x v="1244"/>
    <x v="26"/>
    <x v="0"/>
    <x v="4"/>
    <n v="6"/>
    <n v="80"/>
    <n v="480"/>
    <n v="0.09"/>
    <n v="43.2"/>
    <x v="8"/>
  </r>
  <r>
    <x v="1245"/>
    <x v="26"/>
    <x v="0"/>
    <x v="0"/>
    <n v="17"/>
    <n v="80"/>
    <n v="1360"/>
    <n v="0.09"/>
    <n v="122.4"/>
    <x v="9"/>
  </r>
  <r>
    <x v="1246"/>
    <x v="26"/>
    <x v="1"/>
    <x v="0"/>
    <n v="19"/>
    <n v="40"/>
    <n v="760"/>
    <n v="0.04"/>
    <n v="30.4"/>
    <x v="10"/>
  </r>
  <r>
    <x v="1247"/>
    <x v="26"/>
    <x v="1"/>
    <x v="4"/>
    <n v="16"/>
    <n v="40"/>
    <n v="640"/>
    <n v="0.09"/>
    <n v="57.6"/>
    <x v="11"/>
  </r>
  <r>
    <x v="1248"/>
    <x v="26"/>
    <x v="3"/>
    <x v="0"/>
    <n v="4"/>
    <n v="16"/>
    <n v="64"/>
    <n v="0.12"/>
    <n v="7.68"/>
    <x v="0"/>
  </r>
  <r>
    <x v="1249"/>
    <x v="26"/>
    <x v="4"/>
    <x v="3"/>
    <n v="9"/>
    <n v="150"/>
    <n v="1350"/>
    <n v="0.02"/>
    <n v="27"/>
    <x v="1"/>
  </r>
  <r>
    <x v="1250"/>
    <x v="26"/>
    <x v="3"/>
    <x v="0"/>
    <n v="11"/>
    <n v="16"/>
    <n v="176"/>
    <n v="0.09"/>
    <n v="15.84"/>
    <x v="2"/>
  </r>
  <r>
    <x v="1251"/>
    <x v="26"/>
    <x v="0"/>
    <x v="1"/>
    <n v="17"/>
    <n v="80"/>
    <n v="1360"/>
    <n v="0.03"/>
    <n v="40.799999999999997"/>
    <x v="3"/>
  </r>
  <r>
    <x v="1252"/>
    <x v="27"/>
    <x v="4"/>
    <x v="0"/>
    <n v="3"/>
    <n v="150"/>
    <n v="450"/>
    <n v="0.03"/>
    <n v="13.5"/>
    <x v="4"/>
  </r>
  <r>
    <x v="1253"/>
    <x v="27"/>
    <x v="2"/>
    <x v="3"/>
    <n v="2"/>
    <n v="230"/>
    <n v="460"/>
    <n v="0.08"/>
    <n v="36.799999999999997"/>
    <x v="5"/>
  </r>
  <r>
    <x v="1254"/>
    <x v="27"/>
    <x v="2"/>
    <x v="3"/>
    <n v="17"/>
    <n v="230"/>
    <n v="3910"/>
    <n v="0.12"/>
    <n v="469.2"/>
    <x v="1"/>
  </r>
  <r>
    <x v="1255"/>
    <x v="27"/>
    <x v="4"/>
    <x v="1"/>
    <n v="2"/>
    <n v="150"/>
    <n v="300"/>
    <n v="0.09"/>
    <n v="27"/>
    <x v="2"/>
  </r>
  <r>
    <x v="1256"/>
    <x v="27"/>
    <x v="1"/>
    <x v="3"/>
    <n v="18"/>
    <n v="40"/>
    <n v="720"/>
    <n v="0.06"/>
    <n v="43.2"/>
    <x v="3"/>
  </r>
  <r>
    <x v="1257"/>
    <x v="27"/>
    <x v="4"/>
    <x v="2"/>
    <n v="18"/>
    <n v="150"/>
    <n v="2700"/>
    <n v="0.06"/>
    <n v="162"/>
    <x v="4"/>
  </r>
  <r>
    <x v="1258"/>
    <x v="27"/>
    <x v="1"/>
    <x v="1"/>
    <n v="12"/>
    <n v="40"/>
    <n v="480"/>
    <n v="0.1"/>
    <n v="48"/>
    <x v="5"/>
  </r>
  <r>
    <x v="1259"/>
    <x v="27"/>
    <x v="0"/>
    <x v="0"/>
    <n v="21"/>
    <n v="80"/>
    <n v="1680"/>
    <n v="0.04"/>
    <n v="67.2"/>
    <x v="6"/>
  </r>
  <r>
    <x v="1260"/>
    <x v="27"/>
    <x v="1"/>
    <x v="4"/>
    <n v="3"/>
    <n v="40"/>
    <n v="120"/>
    <n v="0.03"/>
    <n v="3.6"/>
    <x v="7"/>
  </r>
  <r>
    <x v="1261"/>
    <x v="27"/>
    <x v="0"/>
    <x v="4"/>
    <n v="22"/>
    <n v="80"/>
    <n v="1760"/>
    <n v="0.1"/>
    <n v="176"/>
    <x v="8"/>
  </r>
  <r>
    <x v="1262"/>
    <x v="27"/>
    <x v="1"/>
    <x v="4"/>
    <n v="16"/>
    <n v="40"/>
    <n v="640"/>
    <n v="0.11"/>
    <n v="70.400000000000006"/>
    <x v="9"/>
  </r>
  <r>
    <x v="1263"/>
    <x v="27"/>
    <x v="3"/>
    <x v="0"/>
    <n v="11"/>
    <n v="16"/>
    <n v="176"/>
    <n v="0.09"/>
    <n v="15.84"/>
    <x v="10"/>
  </r>
  <r>
    <x v="1264"/>
    <x v="28"/>
    <x v="0"/>
    <x v="2"/>
    <n v="10"/>
    <n v="80"/>
    <n v="800"/>
    <n v="0.08"/>
    <n v="64"/>
    <x v="11"/>
  </r>
  <r>
    <x v="1265"/>
    <x v="28"/>
    <x v="3"/>
    <x v="2"/>
    <n v="12"/>
    <n v="16"/>
    <n v="192"/>
    <n v="0.03"/>
    <n v="5.76"/>
    <x v="0"/>
  </r>
  <r>
    <x v="1266"/>
    <x v="28"/>
    <x v="4"/>
    <x v="0"/>
    <n v="8"/>
    <n v="150"/>
    <n v="1200"/>
    <n v="0.09"/>
    <n v="108"/>
    <x v="1"/>
  </r>
  <r>
    <x v="1267"/>
    <x v="28"/>
    <x v="1"/>
    <x v="4"/>
    <n v="10"/>
    <n v="40"/>
    <n v="400"/>
    <n v="0.03"/>
    <n v="12"/>
    <x v="2"/>
  </r>
  <r>
    <x v="1268"/>
    <x v="28"/>
    <x v="4"/>
    <x v="0"/>
    <n v="7"/>
    <n v="150"/>
    <n v="1050"/>
    <n v="0.02"/>
    <n v="21"/>
    <x v="3"/>
  </r>
  <r>
    <x v="1269"/>
    <x v="28"/>
    <x v="3"/>
    <x v="2"/>
    <n v="6"/>
    <n v="16"/>
    <n v="96"/>
    <n v="0.01"/>
    <n v="0.96"/>
    <x v="4"/>
  </r>
  <r>
    <x v="1270"/>
    <x v="28"/>
    <x v="0"/>
    <x v="3"/>
    <n v="15"/>
    <n v="80"/>
    <n v="1200"/>
    <n v="0.08"/>
    <n v="96"/>
    <x v="5"/>
  </r>
  <r>
    <x v="1271"/>
    <x v="28"/>
    <x v="3"/>
    <x v="4"/>
    <n v="13"/>
    <n v="16"/>
    <n v="208"/>
    <n v="7.0000000000000007E-2"/>
    <n v="14.56"/>
    <x v="1"/>
  </r>
  <r>
    <x v="1272"/>
    <x v="28"/>
    <x v="2"/>
    <x v="3"/>
    <n v="19"/>
    <n v="230"/>
    <n v="4370"/>
    <n v="0.06"/>
    <n v="262.2"/>
    <x v="2"/>
  </r>
  <r>
    <x v="1273"/>
    <x v="28"/>
    <x v="0"/>
    <x v="3"/>
    <n v="21"/>
    <n v="80"/>
    <n v="1680"/>
    <n v="0.05"/>
    <n v="84"/>
    <x v="3"/>
  </r>
  <r>
    <x v="1274"/>
    <x v="28"/>
    <x v="0"/>
    <x v="1"/>
    <n v="5"/>
    <n v="80"/>
    <n v="400"/>
    <n v="7.0000000000000007E-2"/>
    <n v="28"/>
    <x v="4"/>
  </r>
  <r>
    <x v="1275"/>
    <x v="28"/>
    <x v="3"/>
    <x v="2"/>
    <n v="8"/>
    <n v="16"/>
    <n v="128"/>
    <n v="0.03"/>
    <n v="3.84"/>
    <x v="5"/>
  </r>
  <r>
    <x v="1276"/>
    <x v="28"/>
    <x v="3"/>
    <x v="2"/>
    <n v="12"/>
    <n v="16"/>
    <n v="192"/>
    <n v="0.11"/>
    <n v="21.12"/>
    <x v="6"/>
  </r>
  <r>
    <x v="1277"/>
    <x v="28"/>
    <x v="0"/>
    <x v="3"/>
    <n v="22"/>
    <n v="80"/>
    <n v="1760"/>
    <n v="0.03"/>
    <n v="52.8"/>
    <x v="7"/>
  </r>
  <r>
    <x v="1278"/>
    <x v="28"/>
    <x v="1"/>
    <x v="0"/>
    <n v="5"/>
    <n v="40"/>
    <n v="200"/>
    <n v="0.09"/>
    <n v="18"/>
    <x v="8"/>
  </r>
  <r>
    <x v="1279"/>
    <x v="29"/>
    <x v="4"/>
    <x v="1"/>
    <n v="23"/>
    <n v="150"/>
    <n v="3450"/>
    <n v="0.11"/>
    <n v="379.5"/>
    <x v="9"/>
  </r>
  <r>
    <x v="1280"/>
    <x v="29"/>
    <x v="0"/>
    <x v="0"/>
    <n v="16"/>
    <n v="80"/>
    <n v="1280"/>
    <n v="0.03"/>
    <n v="38.4"/>
    <x v="10"/>
  </r>
  <r>
    <x v="1281"/>
    <x v="29"/>
    <x v="4"/>
    <x v="4"/>
    <n v="15"/>
    <n v="150"/>
    <n v="2250"/>
    <n v="7.0000000000000007E-2"/>
    <n v="157.5"/>
    <x v="11"/>
  </r>
  <r>
    <x v="1282"/>
    <x v="29"/>
    <x v="1"/>
    <x v="0"/>
    <n v="20"/>
    <n v="40"/>
    <n v="800"/>
    <n v="0.04"/>
    <n v="32"/>
    <x v="0"/>
  </r>
  <r>
    <x v="1283"/>
    <x v="29"/>
    <x v="2"/>
    <x v="2"/>
    <n v="10"/>
    <n v="230"/>
    <n v="2300"/>
    <n v="0.02"/>
    <n v="46"/>
    <x v="1"/>
  </r>
  <r>
    <x v="1284"/>
    <x v="29"/>
    <x v="0"/>
    <x v="1"/>
    <n v="9"/>
    <n v="80"/>
    <n v="720"/>
    <n v="0.03"/>
    <n v="21.6"/>
    <x v="2"/>
  </r>
  <r>
    <x v="1285"/>
    <x v="29"/>
    <x v="2"/>
    <x v="0"/>
    <n v="16"/>
    <n v="230"/>
    <n v="3680"/>
    <n v="7.0000000000000007E-2"/>
    <n v="257.60000000000002"/>
    <x v="3"/>
  </r>
  <r>
    <x v="1286"/>
    <x v="29"/>
    <x v="0"/>
    <x v="1"/>
    <n v="21"/>
    <n v="80"/>
    <n v="1680"/>
    <n v="0.04"/>
    <n v="67.2"/>
    <x v="4"/>
  </r>
  <r>
    <x v="1287"/>
    <x v="29"/>
    <x v="0"/>
    <x v="1"/>
    <n v="9"/>
    <n v="80"/>
    <n v="720"/>
    <n v="0.03"/>
    <n v="21.6"/>
    <x v="5"/>
  </r>
  <r>
    <x v="1288"/>
    <x v="29"/>
    <x v="1"/>
    <x v="1"/>
    <n v="4"/>
    <n v="40"/>
    <n v="160"/>
    <n v="0.12"/>
    <n v="19.2"/>
    <x v="1"/>
  </r>
  <r>
    <x v="1289"/>
    <x v="29"/>
    <x v="2"/>
    <x v="2"/>
    <n v="5"/>
    <n v="230"/>
    <n v="1150"/>
    <n v="0.01"/>
    <n v="11.5"/>
    <x v="2"/>
  </r>
  <r>
    <x v="1290"/>
    <x v="29"/>
    <x v="3"/>
    <x v="0"/>
    <n v="18"/>
    <n v="16"/>
    <n v="288"/>
    <n v="0.05"/>
    <n v="14.4"/>
    <x v="3"/>
  </r>
  <r>
    <x v="1291"/>
    <x v="30"/>
    <x v="0"/>
    <x v="2"/>
    <n v="6"/>
    <n v="80"/>
    <n v="480"/>
    <n v="0.01"/>
    <n v="4.8"/>
    <x v="4"/>
  </r>
  <r>
    <x v="1292"/>
    <x v="30"/>
    <x v="4"/>
    <x v="4"/>
    <n v="4"/>
    <n v="150"/>
    <n v="600"/>
    <n v="0.05"/>
    <n v="30"/>
    <x v="5"/>
  </r>
  <r>
    <x v="1293"/>
    <x v="30"/>
    <x v="2"/>
    <x v="4"/>
    <n v="21"/>
    <n v="230"/>
    <n v="4830"/>
    <n v="0.05"/>
    <n v="241.5"/>
    <x v="6"/>
  </r>
  <r>
    <x v="1294"/>
    <x v="30"/>
    <x v="4"/>
    <x v="0"/>
    <n v="4"/>
    <n v="150"/>
    <n v="600"/>
    <n v="0.06"/>
    <n v="36"/>
    <x v="7"/>
  </r>
  <r>
    <x v="1295"/>
    <x v="30"/>
    <x v="0"/>
    <x v="1"/>
    <n v="2"/>
    <n v="80"/>
    <n v="160"/>
    <n v="0.04"/>
    <n v="6.4"/>
    <x v="8"/>
  </r>
  <r>
    <x v="1296"/>
    <x v="30"/>
    <x v="3"/>
    <x v="1"/>
    <n v="5"/>
    <n v="16"/>
    <n v="80"/>
    <n v="0.11"/>
    <n v="8.8000000000000007"/>
    <x v="9"/>
  </r>
  <r>
    <x v="1297"/>
    <x v="30"/>
    <x v="4"/>
    <x v="4"/>
    <n v="23"/>
    <n v="150"/>
    <n v="3450"/>
    <n v="0.08"/>
    <n v="276"/>
    <x v="10"/>
  </r>
  <r>
    <x v="1298"/>
    <x v="30"/>
    <x v="0"/>
    <x v="1"/>
    <n v="3"/>
    <n v="80"/>
    <n v="240"/>
    <n v="0.02"/>
    <n v="4.8"/>
    <x v="11"/>
  </r>
  <r>
    <x v="1299"/>
    <x v="30"/>
    <x v="2"/>
    <x v="4"/>
    <n v="17"/>
    <n v="230"/>
    <n v="3910"/>
    <n v="0.11"/>
    <n v="430.1"/>
    <x v="0"/>
  </r>
  <r>
    <x v="1300"/>
    <x v="30"/>
    <x v="1"/>
    <x v="2"/>
    <n v="11"/>
    <n v="40"/>
    <n v="440"/>
    <n v="0.05"/>
    <n v="22"/>
    <x v="1"/>
  </r>
  <r>
    <x v="1301"/>
    <x v="30"/>
    <x v="2"/>
    <x v="0"/>
    <n v="7"/>
    <n v="230"/>
    <n v="1610"/>
    <n v="0.02"/>
    <n v="32.200000000000003"/>
    <x v="2"/>
  </r>
  <r>
    <x v="1302"/>
    <x v="30"/>
    <x v="1"/>
    <x v="2"/>
    <n v="13"/>
    <n v="40"/>
    <n v="520"/>
    <n v="0.02"/>
    <n v="10.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4663AB-D09B-4805-A08B-57E3D726022F}"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C14" firstHeaderRow="1" firstDataRow="1" firstDataCol="0"/>
  <pivotFields count="10">
    <pivotField showAll="0"/>
    <pivotField numFmtId="14" showAll="0">
      <items count="32">
        <item x="0"/>
        <item x="1"/>
        <item x="2"/>
        <item h="1" x="3"/>
        <item x="4"/>
        <item x="5"/>
        <item x="6"/>
        <item x="7"/>
        <item h="1" x="8"/>
        <item x="9"/>
        <item x="10"/>
        <item x="11"/>
        <item x="12"/>
        <item x="13"/>
        <item x="14"/>
        <item x="15"/>
        <item x="16"/>
        <item x="17"/>
        <item x="18"/>
        <item x="19"/>
        <item x="20"/>
        <item x="21"/>
        <item x="22"/>
        <item x="23"/>
        <item x="24"/>
        <item x="25"/>
        <item x="26"/>
        <item x="27"/>
        <item x="28"/>
        <item x="29"/>
        <item x="30"/>
        <item t="default"/>
      </items>
    </pivotField>
    <pivotField showAll="0"/>
    <pivotField showAll="0">
      <items count="6">
        <item x="4"/>
        <item x="0"/>
        <item x="2"/>
        <item x="1"/>
        <item x="3"/>
        <item t="default"/>
      </items>
    </pivotField>
    <pivotField showAll="0"/>
    <pivotField showAll="0"/>
    <pivotField showAll="0"/>
    <pivotField showAll="0"/>
    <pivotField dataField="1" showAll="0"/>
    <pivotField showAll="0">
      <items count="13">
        <item x="5"/>
        <item x="3"/>
        <item x="6"/>
        <item x="8"/>
        <item x="10"/>
        <item x="9"/>
        <item x="7"/>
        <item x="11"/>
        <item x="2"/>
        <item x="0"/>
        <item x="1"/>
        <item x="4"/>
        <item t="default"/>
      </items>
    </pivotField>
  </pivotFields>
  <rowItems count="1">
    <i/>
  </rowItems>
  <colItems count="1">
    <i/>
  </colItems>
  <dataFields count="1">
    <dataField name="Sum of Total Commissio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8DD11E-7077-4EA6-A3B7-4F5D6852BA5B}"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10">
    <pivotField showAll="0"/>
    <pivotField numFmtId="14" showAll="0">
      <items count="32">
        <item x="0"/>
        <item x="1"/>
        <item x="2"/>
        <item h="1" x="3"/>
        <item x="4"/>
        <item x="5"/>
        <item x="6"/>
        <item x="7"/>
        <item h="1" x="8"/>
        <item x="9"/>
        <item x="10"/>
        <item x="11"/>
        <item x="12"/>
        <item x="13"/>
        <item x="14"/>
        <item x="15"/>
        <item x="16"/>
        <item x="17"/>
        <item x="18"/>
        <item x="19"/>
        <item x="20"/>
        <item x="21"/>
        <item x="22"/>
        <item x="23"/>
        <item x="24"/>
        <item x="25"/>
        <item x="26"/>
        <item x="27"/>
        <item x="28"/>
        <item x="29"/>
        <item x="30"/>
        <item t="default"/>
      </items>
    </pivotField>
    <pivotField showAll="0"/>
    <pivotField showAll="0">
      <items count="6">
        <item x="4"/>
        <item x="0"/>
        <item x="2"/>
        <item x="1"/>
        <item x="3"/>
        <item t="default"/>
      </items>
    </pivotField>
    <pivotField showAll="0"/>
    <pivotField showAll="0"/>
    <pivotField dataField="1" showAll="0"/>
    <pivotField showAll="0"/>
    <pivotField showAll="0"/>
    <pivotField showAll="0">
      <items count="13">
        <item x="5"/>
        <item x="3"/>
        <item x="6"/>
        <item x="8"/>
        <item x="10"/>
        <item x="9"/>
        <item x="7"/>
        <item x="11"/>
        <item x="2"/>
        <item x="0"/>
        <item x="1"/>
        <item x="4"/>
        <item t="default"/>
      </items>
    </pivotField>
  </pivotFields>
  <rowItems count="1">
    <i/>
  </rowItems>
  <colItems count="1">
    <i/>
  </colItems>
  <dataFields count="1">
    <dataField name="Sum of Total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9A5C51-72DE-4C04-A9D9-B84BFFFE5A44}"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0">
    <pivotField dataField="1" showAll="0"/>
    <pivotField numFmtId="14" showAll="0">
      <items count="32">
        <item x="0"/>
        <item x="1"/>
        <item x="2"/>
        <item h="1" x="3"/>
        <item x="4"/>
        <item x="5"/>
        <item x="6"/>
        <item x="7"/>
        <item h="1" x="8"/>
        <item x="9"/>
        <item x="10"/>
        <item x="11"/>
        <item x="12"/>
        <item x="13"/>
        <item x="14"/>
        <item x="15"/>
        <item x="16"/>
        <item x="17"/>
        <item x="18"/>
        <item x="19"/>
        <item x="20"/>
        <item x="21"/>
        <item x="22"/>
        <item x="23"/>
        <item x="24"/>
        <item x="25"/>
        <item x="26"/>
        <item x="27"/>
        <item x="28"/>
        <item x="29"/>
        <item x="30"/>
        <item t="default"/>
      </items>
    </pivotField>
    <pivotField showAll="0"/>
    <pivotField showAll="0">
      <items count="6">
        <item x="4"/>
        <item x="0"/>
        <item x="2"/>
        <item x="1"/>
        <item x="3"/>
        <item t="default"/>
      </items>
    </pivotField>
    <pivotField showAll="0"/>
    <pivotField showAll="0"/>
    <pivotField showAll="0"/>
    <pivotField showAll="0"/>
    <pivotField showAll="0"/>
    <pivotField showAll="0">
      <items count="13">
        <item x="5"/>
        <item x="3"/>
        <item x="6"/>
        <item x="8"/>
        <item x="10"/>
        <item x="9"/>
        <item x="7"/>
        <item x="11"/>
        <item x="2"/>
        <item x="0"/>
        <item x="1"/>
        <item x="4"/>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A042E8-13E3-45AF-A285-37FA36AAC038}"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94:C107" firstHeaderRow="1" firstDataRow="1" firstDataCol="1"/>
  <pivotFields count="10">
    <pivotField dataField="1" showAll="0">
      <items count="1304">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numFmtId="14" showAll="0">
      <items count="32">
        <item x="0"/>
        <item x="1"/>
        <item x="2"/>
        <item h="1" x="3"/>
        <item x="4"/>
        <item x="5"/>
        <item x="6"/>
        <item x="7"/>
        <item h="1" x="8"/>
        <item x="9"/>
        <item x="10"/>
        <item x="11"/>
        <item x="12"/>
        <item x="13"/>
        <item x="14"/>
        <item x="15"/>
        <item x="16"/>
        <item x="17"/>
        <item x="18"/>
        <item x="19"/>
        <item x="20"/>
        <item x="21"/>
        <item x="22"/>
        <item x="23"/>
        <item x="24"/>
        <item x="25"/>
        <item x="26"/>
        <item x="27"/>
        <item x="28"/>
        <item x="29"/>
        <item x="30"/>
        <item t="default"/>
      </items>
    </pivotField>
    <pivotField showAll="0"/>
    <pivotField showAll="0">
      <items count="6">
        <item x="4"/>
        <item x="0"/>
        <item x="2"/>
        <item x="1"/>
        <item x="3"/>
        <item t="default"/>
      </items>
    </pivotField>
    <pivotField showAll="0"/>
    <pivotField showAll="0"/>
    <pivotField showAll="0"/>
    <pivotField showAll="0"/>
    <pivotField showAll="0"/>
    <pivotField axis="axisRow" showAll="0" sortType="ascending">
      <items count="13">
        <item x="5"/>
        <item x="3"/>
        <item x="6"/>
        <item x="8"/>
        <item x="10"/>
        <item x="9"/>
        <item x="7"/>
        <item x="11"/>
        <item x="2"/>
        <item x="0"/>
        <item x="1"/>
        <item x="4"/>
        <item t="default"/>
      </items>
      <autoSortScope>
        <pivotArea dataOnly="0" outline="0" fieldPosition="0">
          <references count="1">
            <reference field="4294967294" count="1" selected="0">
              <x v="0"/>
            </reference>
          </references>
        </pivotArea>
      </autoSortScope>
    </pivotField>
  </pivotFields>
  <rowFields count="1">
    <field x="9"/>
  </rowFields>
  <rowItems count="13">
    <i>
      <x v="4"/>
    </i>
    <i>
      <x v="7"/>
    </i>
    <i>
      <x v="9"/>
    </i>
    <i>
      <x/>
    </i>
    <i>
      <x v="11"/>
    </i>
    <i>
      <x v="10"/>
    </i>
    <i>
      <x v="1"/>
    </i>
    <i>
      <x v="2"/>
    </i>
    <i>
      <x v="6"/>
    </i>
    <i>
      <x v="5"/>
    </i>
    <i>
      <x v="8"/>
    </i>
    <i>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16D4D8-2EE4-4353-A4AC-052A3224C690}"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8:C84" firstHeaderRow="1" firstDataRow="1" firstDataCol="1"/>
  <pivotFields count="10">
    <pivotField showAll="0"/>
    <pivotField numFmtId="14" showAll="0">
      <items count="32">
        <item x="0"/>
        <item x="1"/>
        <item x="2"/>
        <item h="1" x="3"/>
        <item x="4"/>
        <item x="5"/>
        <item x="6"/>
        <item x="7"/>
        <item h="1" x="8"/>
        <item x="9"/>
        <item x="10"/>
        <item x="11"/>
        <item x="12"/>
        <item x="13"/>
        <item x="14"/>
        <item x="15"/>
        <item x="16"/>
        <item x="17"/>
        <item x="18"/>
        <item x="19"/>
        <item x="20"/>
        <item x="21"/>
        <item x="22"/>
        <item x="23"/>
        <item x="24"/>
        <item x="25"/>
        <item x="26"/>
        <item x="27"/>
        <item x="28"/>
        <item x="29"/>
        <item x="30"/>
        <item t="default"/>
      </items>
    </pivotField>
    <pivotField showAll="0"/>
    <pivotField axis="axisRow" showAll="0">
      <items count="6">
        <item x="4"/>
        <item x="0"/>
        <item x="2"/>
        <item x="1"/>
        <item x="3"/>
        <item t="default"/>
      </items>
    </pivotField>
    <pivotField showAll="0"/>
    <pivotField showAll="0"/>
    <pivotField showAll="0"/>
    <pivotField showAll="0"/>
    <pivotField dataField="1" showAll="0"/>
    <pivotField showAll="0">
      <items count="13">
        <item x="5"/>
        <item x="3"/>
        <item x="6"/>
        <item x="8"/>
        <item x="10"/>
        <item x="9"/>
        <item x="7"/>
        <item x="11"/>
        <item x="2"/>
        <item x="0"/>
        <item x="1"/>
        <item x="4"/>
        <item t="default"/>
      </items>
    </pivotField>
  </pivotFields>
  <rowFields count="1">
    <field x="3"/>
  </rowFields>
  <rowItems count="6">
    <i>
      <x/>
    </i>
    <i>
      <x v="1"/>
    </i>
    <i>
      <x v="2"/>
    </i>
    <i>
      <x v="3"/>
    </i>
    <i>
      <x v="4"/>
    </i>
    <i t="grand">
      <x/>
    </i>
  </rowItems>
  <colItems count="1">
    <i/>
  </colItems>
  <dataFields count="1">
    <dataField name="Sum of Total Commission"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F13094-FADF-4A19-A5E1-C6065EB2ED3F}"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58:C64" firstHeaderRow="1" firstDataRow="1" firstDataCol="1"/>
  <pivotFields count="10">
    <pivotField showAll="0"/>
    <pivotField numFmtId="14" showAll="0">
      <items count="32">
        <item x="0"/>
        <item x="1"/>
        <item x="2"/>
        <item h="1" x="3"/>
        <item x="4"/>
        <item x="5"/>
        <item x="6"/>
        <item x="7"/>
        <item h="1" x="8"/>
        <item x="9"/>
        <item x="10"/>
        <item x="11"/>
        <item x="12"/>
        <item x="13"/>
        <item x="14"/>
        <item x="15"/>
        <item x="16"/>
        <item x="17"/>
        <item x="18"/>
        <item x="19"/>
        <item x="20"/>
        <item x="21"/>
        <item x="22"/>
        <item x="23"/>
        <item x="24"/>
        <item x="25"/>
        <item x="26"/>
        <item x="27"/>
        <item x="28"/>
        <item x="29"/>
        <item x="30"/>
        <item t="default"/>
      </items>
    </pivotField>
    <pivotField showAll="0"/>
    <pivotField axis="axisRow" showAll="0">
      <items count="6">
        <item x="4"/>
        <item x="0"/>
        <item x="2"/>
        <item x="1"/>
        <item x="3"/>
        <item t="default"/>
      </items>
    </pivotField>
    <pivotField showAll="0"/>
    <pivotField showAll="0"/>
    <pivotField dataField="1" showAll="0"/>
    <pivotField showAll="0"/>
    <pivotField showAll="0"/>
    <pivotField showAll="0">
      <items count="13">
        <item x="5"/>
        <item x="3"/>
        <item x="6"/>
        <item x="8"/>
        <item x="10"/>
        <item x="9"/>
        <item x="7"/>
        <item x="11"/>
        <item x="2"/>
        <item x="0"/>
        <item x="1"/>
        <item x="4"/>
        <item t="default"/>
      </items>
    </pivotField>
  </pivotFields>
  <rowFields count="1">
    <field x="3"/>
  </rowFields>
  <rowItems count="6">
    <i>
      <x/>
    </i>
    <i>
      <x v="1"/>
    </i>
    <i>
      <x v="2"/>
    </i>
    <i>
      <x v="3"/>
    </i>
    <i>
      <x v="4"/>
    </i>
    <i t="grand">
      <x/>
    </i>
  </rowItems>
  <colItems count="1">
    <i/>
  </colItems>
  <dataFields count="1">
    <dataField name="Sum of Total price" fld="6" baseField="0" baseItem="0"/>
  </dataFields>
  <chartFormats count="7">
    <chartFormat chart="12" format="0"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3" count="1" selected="0">
            <x v="0"/>
          </reference>
        </references>
      </pivotArea>
    </chartFormat>
    <chartFormat chart="16" format="9">
      <pivotArea type="data" outline="0" fieldPosition="0">
        <references count="2">
          <reference field="4294967294" count="1" selected="0">
            <x v="0"/>
          </reference>
          <reference field="3" count="1" selected="0">
            <x v="1"/>
          </reference>
        </references>
      </pivotArea>
    </chartFormat>
    <chartFormat chart="16" format="10">
      <pivotArea type="data" outline="0" fieldPosition="0">
        <references count="2">
          <reference field="4294967294" count="1" selected="0">
            <x v="0"/>
          </reference>
          <reference field="3" count="1" selected="0">
            <x v="2"/>
          </reference>
        </references>
      </pivotArea>
    </chartFormat>
    <chartFormat chart="16" format="11">
      <pivotArea type="data" outline="0" fieldPosition="0">
        <references count="2">
          <reference field="4294967294" count="1" selected="0">
            <x v="0"/>
          </reference>
          <reference field="3" count="1" selected="0">
            <x v="3"/>
          </reference>
        </references>
      </pivotArea>
    </chartFormat>
    <chartFormat chart="16"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EE3EFC-C847-45A4-91C1-9F3A21E38069}"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0:C46" firstHeaderRow="1" firstDataRow="1" firstDataCol="1"/>
  <pivotFields count="10">
    <pivotField showAll="0"/>
    <pivotField numFmtId="14" showAll="0">
      <items count="32">
        <item x="0"/>
        <item x="1"/>
        <item x="2"/>
        <item h="1" x="3"/>
        <item x="4"/>
        <item x="5"/>
        <item x="6"/>
        <item x="7"/>
        <item h="1" x="8"/>
        <item x="9"/>
        <item x="10"/>
        <item x="11"/>
        <item x="12"/>
        <item x="13"/>
        <item x="14"/>
        <item x="15"/>
        <item x="16"/>
        <item x="17"/>
        <item x="18"/>
        <item x="19"/>
        <item x="20"/>
        <item x="21"/>
        <item x="22"/>
        <item x="23"/>
        <item x="24"/>
        <item x="25"/>
        <item x="26"/>
        <item x="27"/>
        <item x="28"/>
        <item x="29"/>
        <item x="30"/>
        <item t="default"/>
      </items>
    </pivotField>
    <pivotField axis="axisRow"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pivotField showAll="0">
      <items count="13">
        <item x="5"/>
        <item x="3"/>
        <item x="6"/>
        <item x="8"/>
        <item x="10"/>
        <item x="9"/>
        <item x="7"/>
        <item x="11"/>
        <item x="2"/>
        <item x="0"/>
        <item x="1"/>
        <item x="4"/>
        <item t="default"/>
      </items>
    </pivotField>
  </pivotFields>
  <rowFields count="1">
    <field x="2"/>
  </rowFields>
  <rowItems count="6">
    <i>
      <x/>
    </i>
    <i>
      <x v="1"/>
    </i>
    <i>
      <x v="2"/>
    </i>
    <i>
      <x v="3"/>
    </i>
    <i>
      <x v="4"/>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012694-C023-434C-B4C1-E253C9B34703}"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C33" firstHeaderRow="1" firstDataRow="1" firstDataCol="1"/>
  <pivotFields count="10">
    <pivotField dataField="1" showAll="0"/>
    <pivotField axis="axisRow" numFmtId="14" showAll="0">
      <items count="32">
        <item x="0"/>
        <item x="1"/>
        <item x="2"/>
        <item h="1" x="3"/>
        <item x="4"/>
        <item x="5"/>
        <item x="6"/>
        <item x="7"/>
        <item h="1" x="8"/>
        <item x="9"/>
        <item x="10"/>
        <item x="11"/>
        <item x="12"/>
        <item x="13"/>
        <item x="14"/>
        <item x="15"/>
        <item x="16"/>
        <item x="17"/>
        <item x="18"/>
        <item x="19"/>
        <item x="20"/>
        <item x="21"/>
        <item x="22"/>
        <item x="23"/>
        <item x="24"/>
        <item x="25"/>
        <item x="26"/>
        <item x="27"/>
        <item x="28"/>
        <item x="29"/>
        <item x="30"/>
        <item t="default"/>
      </items>
    </pivotField>
    <pivotField showAll="0"/>
    <pivotField showAll="0">
      <items count="6">
        <item x="4"/>
        <item x="0"/>
        <item x="2"/>
        <item x="1"/>
        <item x="3"/>
        <item t="default"/>
      </items>
    </pivotField>
    <pivotField showAll="0"/>
    <pivotField showAll="0"/>
    <pivotField showAll="0"/>
    <pivotField showAll="0"/>
    <pivotField showAll="0"/>
    <pivotField showAll="0">
      <items count="13">
        <item x="5"/>
        <item x="3"/>
        <item x="6"/>
        <item x="8"/>
        <item x="10"/>
        <item x="9"/>
        <item x="7"/>
        <item x="11"/>
        <item x="2"/>
        <item x="0"/>
        <item x="1"/>
        <item x="4"/>
        <item t="default"/>
      </items>
    </pivotField>
  </pivotFields>
  <rowFields count="1">
    <field x="1"/>
  </rowFields>
  <rowItems count="30">
    <i>
      <x/>
    </i>
    <i>
      <x v="1"/>
    </i>
    <i>
      <x v="2"/>
    </i>
    <i>
      <x v="4"/>
    </i>
    <i>
      <x v="5"/>
    </i>
    <i>
      <x v="6"/>
    </i>
    <i>
      <x v="7"/>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936E41-BCF9-49E5-A409-8CAA7DF9F8FD}" autoFormatId="16" applyNumberFormats="0" applyBorderFormats="0" applyFontFormats="0" applyPatternFormats="0" applyAlignmentFormats="0" applyWidthHeightFormats="0">
  <queryTableRefresh nextId="14">
    <queryTableFields count="10">
      <queryTableField id="1" name="Order Id" tableColumnId="1"/>
      <queryTableField id="2" name="Date" tableColumnId="2"/>
      <queryTableField id="3" name="Item" tableColumnId="3"/>
      <queryTableField id="4" name="Sales Rep" tableColumnId="4"/>
      <queryTableField id="5" name="Quantity" tableColumnId="5"/>
      <queryTableField id="6" name="Price" tableColumnId="6"/>
      <queryTableField id="7" name="Total price" tableColumnId="7"/>
      <queryTableField id="8" name="Commission" tableColumnId="8"/>
      <queryTableField id="9" name="Total Commission" tableColumnId="9"/>
      <queryTableField id="10" name="State" tableColumnId="10"/>
    </queryTableFields>
    <queryTableDeletedFields count="3">
      <deletedField name="Column1"/>
      <deletedField name="_1"/>
      <deletedField name="_2"/>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298234E9-D5F2-4744-A28A-6205E41769FA}" sourceName="Sales Rep">
  <pivotTables>
    <pivotTable tabId="3" name="PivotTable5"/>
    <pivotTable tabId="3" name="PivotTable4"/>
    <pivotTable tabId="3" name="PivotTable6"/>
    <pivotTable tabId="3" name="PivotTable7"/>
    <pivotTable tabId="3" name="PivotTable8"/>
    <pivotTable tabId="2" name="PivotTable1"/>
    <pivotTable tabId="2" name="PivotTable2"/>
    <pivotTable tabId="2" name="PivotTable3"/>
  </pivotTables>
  <data>
    <tabular pivotCacheId="921970974">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B2F77C6F-8436-446D-88A5-4F27267DF7C4}" sourceName="Date">
  <pivotTables>
    <pivotTable tabId="3" name="PivotTable4"/>
    <pivotTable tabId="3" name="PivotTable5"/>
    <pivotTable tabId="3" name="PivotTable6"/>
    <pivotTable tabId="3" name="PivotTable7"/>
    <pivotTable tabId="3" name="PivotTable8"/>
    <pivotTable tabId="2" name="PivotTable1"/>
    <pivotTable tabId="2" name="PivotTable2"/>
    <pivotTable tabId="2" name="PivotTable3"/>
  </pivotTables>
  <data>
    <tabular pivotCacheId="921970974">
      <items count="31">
        <i x="0" s="1"/>
        <i x="1" s="1"/>
        <i x="2" s="1"/>
        <i x="3"/>
        <i x="4" s="1"/>
        <i x="5" s="1"/>
        <i x="6" s="1"/>
        <i x="7" s="1"/>
        <i x="8"/>
        <i x="9" s="1"/>
        <i x="10" s="1"/>
        <i x="11" s="1"/>
        <i x="12" s="1"/>
        <i x="13" s="1"/>
        <i x="14" s="1"/>
        <i x="15" s="1"/>
        <i x="16" s="1"/>
        <i x="17" s="1"/>
        <i x="18" s="1"/>
        <i x="19" s="1"/>
        <i x="20" s="1"/>
        <i x="21" s="1"/>
        <i x="22" s="1"/>
        <i x="23" s="1"/>
        <i x="24" s="1"/>
        <i x="25" s="1"/>
        <i x="26" s="1"/>
        <i x="27" s="1"/>
        <i x="28" s="1"/>
        <i x="29" s="1"/>
        <i x="3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C835980-CE6D-4608-A575-0A7A49248F49}" sourceName="State">
  <pivotTables>
    <pivotTable tabId="3" name="PivotTable4"/>
    <pivotTable tabId="3" name="PivotTable5"/>
    <pivotTable tabId="3" name="PivotTable6"/>
    <pivotTable tabId="3" name="PivotTable7"/>
    <pivotTable tabId="3" name="PivotTable8"/>
    <pivotTable tabId="2" name="PivotTable1"/>
    <pivotTable tabId="2" name="PivotTable2"/>
    <pivotTable tabId="2" name="PivotTable3"/>
  </pivotTables>
  <data>
    <tabular pivotCacheId="921970974">
      <items count="12">
        <i x="5" s="1"/>
        <i x="3" s="1"/>
        <i x="6" s="1"/>
        <i x="8" s="1"/>
        <i x="10" s="1"/>
        <i x="9" s="1"/>
        <i x="7" s="1"/>
        <i x="11"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BE6CDAD6-0180-42EA-A8A2-9A4C7704F199}" cache="Slicer_Sales_Rep" caption="Sales Rep" rowHeight="234950"/>
  <slicer name="Date" xr10:uid="{BE5C1A85-D6B3-4D76-8CD8-7CBC9B29D7CA}" cache="Slicer_Date" caption="Date" rowHeight="234950"/>
  <slicer name="State" xr10:uid="{682B98C4-826F-44FE-B4EA-309FEF27CFF9}" cache="Slicer_State" caption="St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6903B5-7CC6-4E68-9962-BE62A70833F4}" name="Data" displayName="Data" ref="A1:J1304" tableType="queryTable" totalsRowShown="0">
  <autoFilter ref="A1:J1304" xr:uid="{EC6903B5-7CC6-4E68-9962-BE62A70833F4}"/>
  <tableColumns count="10">
    <tableColumn id="1" xr3:uid="{48C46721-9CF0-41BC-86BE-D6B105545FB3}" uniqueName="1" name="Order Id" queryTableFieldId="1" dataDxfId="4"/>
    <tableColumn id="2" xr3:uid="{06963013-5CD0-45FC-B245-EC34D669E79C}" uniqueName="2" name="Date" queryTableFieldId="2" dataDxfId="3"/>
    <tableColumn id="3" xr3:uid="{E2CC806D-D47C-4288-A929-49AE8F9ADBEB}" uniqueName="3" name="Item" queryTableFieldId="3" dataDxfId="2"/>
    <tableColumn id="4" xr3:uid="{6A80B8DA-D7EA-4088-9231-81AF6637F40F}" uniqueName="4" name="Sales Rep" queryTableFieldId="4" dataDxfId="1"/>
    <tableColumn id="5" xr3:uid="{45559FD9-754E-421D-A2CA-29D56F6BFC34}" uniqueName="5" name="Quantity" queryTableFieldId="5"/>
    <tableColumn id="6" xr3:uid="{CB8D94BB-B13A-4128-9661-9419032EC9B5}" uniqueName="6" name="Price" queryTableFieldId="6"/>
    <tableColumn id="7" xr3:uid="{FC713C19-6EFD-4BC0-AAD4-3B7653C2EFED}" uniqueName="7" name="Total price" queryTableFieldId="7"/>
    <tableColumn id="8" xr3:uid="{10EC023B-98DE-46ED-BD3E-18F72F23BB71}" uniqueName="8" name="Commission" queryTableFieldId="8"/>
    <tableColumn id="9" xr3:uid="{BA5C0E91-D6FC-4CD6-9A61-2E11591877C1}" uniqueName="9" name="Total Commission" queryTableFieldId="9"/>
    <tableColumn id="10" xr3:uid="{B119E1B9-8A4A-4E99-8FCA-AFB2EB124F54}" uniqueName="10" name="State" queryTableFieldId="10" dataDxfId="0"/>
  </tableColumns>
  <tableStyleInfo name="TableStyleMedium2" showFirstColumn="0" showLastColumn="0" showRowStripes="1" showColumnStripes="0"/>
</table>
</file>

<file path=xl/theme/theme1.xml><?xml version="1.0" encoding="utf-8"?>
<a:theme xmlns:a="http://schemas.openxmlformats.org/drawingml/2006/main" name="Theme1">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heme1" id="{36F8C0C6-430B-4F98-8956-203E5DA99CF8}" vid="{7F64766B-546F-43A6-86E0-09A0C4117A2B}"/>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1.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CDC54-6989-4386-BE88-DCA16E3EFB6C}">
  <dimension ref="A1:J1304"/>
  <sheetViews>
    <sheetView workbookViewId="0">
      <selection activeCell="D7" sqref="D7"/>
    </sheetView>
  </sheetViews>
  <sheetFormatPr defaultRowHeight="14.4" x14ac:dyDescent="0.3"/>
  <cols>
    <col min="1" max="1" width="12.77734375" customWidth="1"/>
    <col min="2" max="2" width="10.44140625" customWidth="1"/>
    <col min="3" max="3" width="11.109375" customWidth="1"/>
    <col min="4" max="4" width="11" customWidth="1"/>
    <col min="5" max="5" width="10.5546875" customWidth="1"/>
    <col min="6" max="6" width="7.44140625" customWidth="1"/>
    <col min="7" max="7" width="12" customWidth="1"/>
    <col min="8" max="8" width="13.5546875" customWidth="1"/>
    <col min="9" max="9" width="18.109375" customWidth="1"/>
    <col min="10" max="10" width="12.109375" customWidth="1"/>
  </cols>
  <sheetData>
    <row r="1" spans="1:10" x14ac:dyDescent="0.3">
      <c r="A1" t="s">
        <v>0</v>
      </c>
      <c r="B1" t="s">
        <v>1</v>
      </c>
      <c r="C1" t="s">
        <v>2</v>
      </c>
      <c r="D1" t="s">
        <v>3</v>
      </c>
      <c r="E1" t="s">
        <v>4</v>
      </c>
      <c r="F1" t="s">
        <v>5</v>
      </c>
      <c r="G1" t="s">
        <v>6</v>
      </c>
      <c r="H1" t="s">
        <v>7</v>
      </c>
      <c r="I1" t="s">
        <v>8</v>
      </c>
      <c r="J1" t="s">
        <v>9</v>
      </c>
    </row>
    <row r="2" spans="1:10" x14ac:dyDescent="0.3">
      <c r="A2" t="s">
        <v>10</v>
      </c>
      <c r="B2" s="1">
        <v>43282</v>
      </c>
      <c r="C2" t="s">
        <v>11</v>
      </c>
      <c r="D2" t="s">
        <v>12</v>
      </c>
      <c r="E2">
        <v>10</v>
      </c>
      <c r="F2">
        <v>80</v>
      </c>
      <c r="G2">
        <v>800</v>
      </c>
      <c r="H2">
        <v>0.01</v>
      </c>
      <c r="I2">
        <v>8</v>
      </c>
      <c r="J2" t="s">
        <v>13</v>
      </c>
    </row>
    <row r="3" spans="1:10" x14ac:dyDescent="0.3">
      <c r="A3" t="s">
        <v>14</v>
      </c>
      <c r="B3" s="1">
        <v>43282</v>
      </c>
      <c r="C3" t="s">
        <v>15</v>
      </c>
      <c r="D3" t="s">
        <v>16</v>
      </c>
      <c r="E3">
        <v>14</v>
      </c>
      <c r="F3">
        <v>40</v>
      </c>
      <c r="G3">
        <v>560</v>
      </c>
      <c r="H3">
        <v>0.06</v>
      </c>
      <c r="I3">
        <v>33.6</v>
      </c>
      <c r="J3" t="s">
        <v>17</v>
      </c>
    </row>
    <row r="4" spans="1:10" x14ac:dyDescent="0.3">
      <c r="A4" t="s">
        <v>18</v>
      </c>
      <c r="B4" s="1">
        <v>43282</v>
      </c>
      <c r="C4" t="s">
        <v>19</v>
      </c>
      <c r="D4" t="s">
        <v>16</v>
      </c>
      <c r="E4">
        <v>22</v>
      </c>
      <c r="F4">
        <v>230</v>
      </c>
      <c r="G4">
        <v>5060</v>
      </c>
      <c r="H4">
        <v>0.11</v>
      </c>
      <c r="I4">
        <v>556.6</v>
      </c>
      <c r="J4" t="s">
        <v>20</v>
      </c>
    </row>
    <row r="5" spans="1:10" x14ac:dyDescent="0.3">
      <c r="A5" t="s">
        <v>21</v>
      </c>
      <c r="B5" s="1">
        <v>43282</v>
      </c>
      <c r="C5" t="s">
        <v>19</v>
      </c>
      <c r="D5" t="s">
        <v>12</v>
      </c>
      <c r="E5">
        <v>8</v>
      </c>
      <c r="F5">
        <v>230</v>
      </c>
      <c r="G5">
        <v>1840</v>
      </c>
      <c r="H5">
        <v>0.03</v>
      </c>
      <c r="I5">
        <v>55.2</v>
      </c>
      <c r="J5" t="s">
        <v>22</v>
      </c>
    </row>
    <row r="6" spans="1:10" x14ac:dyDescent="0.3">
      <c r="A6" t="s">
        <v>23</v>
      </c>
      <c r="B6" s="1">
        <v>43282</v>
      </c>
      <c r="C6" t="s">
        <v>19</v>
      </c>
      <c r="D6" t="s">
        <v>24</v>
      </c>
      <c r="E6">
        <v>12</v>
      </c>
      <c r="F6">
        <v>230</v>
      </c>
      <c r="G6">
        <v>2760</v>
      </c>
      <c r="H6">
        <v>0.03</v>
      </c>
      <c r="I6">
        <v>82.8</v>
      </c>
      <c r="J6" t="s">
        <v>25</v>
      </c>
    </row>
    <row r="7" spans="1:10" x14ac:dyDescent="0.3">
      <c r="A7" t="s">
        <v>26</v>
      </c>
      <c r="B7" s="1">
        <v>43282</v>
      </c>
      <c r="C7" t="s">
        <v>11</v>
      </c>
      <c r="D7" t="s">
        <v>27</v>
      </c>
      <c r="E7">
        <v>19</v>
      </c>
      <c r="F7">
        <v>80</v>
      </c>
      <c r="G7">
        <v>1520</v>
      </c>
      <c r="H7">
        <v>0.02</v>
      </c>
      <c r="I7">
        <v>30.4</v>
      </c>
      <c r="J7" t="s">
        <v>28</v>
      </c>
    </row>
    <row r="8" spans="1:10" x14ac:dyDescent="0.3">
      <c r="A8" t="s">
        <v>29</v>
      </c>
      <c r="B8" s="1">
        <v>43282</v>
      </c>
      <c r="C8" t="s">
        <v>30</v>
      </c>
      <c r="D8" t="s">
        <v>31</v>
      </c>
      <c r="E8">
        <v>17</v>
      </c>
      <c r="F8">
        <v>16</v>
      </c>
      <c r="G8">
        <v>272</v>
      </c>
      <c r="H8">
        <v>0.08</v>
      </c>
      <c r="I8">
        <v>21.76</v>
      </c>
      <c r="J8" t="s">
        <v>32</v>
      </c>
    </row>
    <row r="9" spans="1:10" x14ac:dyDescent="0.3">
      <c r="A9" t="s">
        <v>33</v>
      </c>
      <c r="B9" s="1">
        <v>43282</v>
      </c>
      <c r="C9" t="s">
        <v>34</v>
      </c>
      <c r="D9" t="s">
        <v>27</v>
      </c>
      <c r="E9">
        <v>7</v>
      </c>
      <c r="F9">
        <v>150</v>
      </c>
      <c r="G9">
        <v>1050</v>
      </c>
      <c r="H9">
        <v>0.05</v>
      </c>
      <c r="I9">
        <v>52.5</v>
      </c>
      <c r="J9" t="s">
        <v>35</v>
      </c>
    </row>
    <row r="10" spans="1:10" x14ac:dyDescent="0.3">
      <c r="A10" t="s">
        <v>36</v>
      </c>
      <c r="B10" s="1">
        <v>43282</v>
      </c>
      <c r="C10" t="s">
        <v>34</v>
      </c>
      <c r="D10" t="s">
        <v>27</v>
      </c>
      <c r="E10">
        <v>20</v>
      </c>
      <c r="F10">
        <v>150</v>
      </c>
      <c r="G10">
        <v>3000</v>
      </c>
      <c r="H10">
        <v>0.1</v>
      </c>
      <c r="I10">
        <v>300</v>
      </c>
      <c r="J10" t="s">
        <v>37</v>
      </c>
    </row>
    <row r="11" spans="1:10" x14ac:dyDescent="0.3">
      <c r="A11" t="s">
        <v>38</v>
      </c>
      <c r="B11" s="1">
        <v>43282</v>
      </c>
      <c r="C11" t="s">
        <v>30</v>
      </c>
      <c r="D11" t="s">
        <v>12</v>
      </c>
      <c r="E11">
        <v>21</v>
      </c>
      <c r="F11">
        <v>16</v>
      </c>
      <c r="G11">
        <v>336</v>
      </c>
      <c r="H11">
        <v>0.09</v>
      </c>
      <c r="I11">
        <v>30.24</v>
      </c>
      <c r="J11" t="s">
        <v>39</v>
      </c>
    </row>
    <row r="12" spans="1:10" x14ac:dyDescent="0.3">
      <c r="A12" t="s">
        <v>40</v>
      </c>
      <c r="B12" s="1">
        <v>43282</v>
      </c>
      <c r="C12" t="s">
        <v>19</v>
      </c>
      <c r="D12" t="s">
        <v>16</v>
      </c>
      <c r="E12">
        <v>7</v>
      </c>
      <c r="F12">
        <v>230</v>
      </c>
      <c r="G12">
        <v>1610</v>
      </c>
      <c r="H12">
        <v>0.01</v>
      </c>
      <c r="I12">
        <v>16.100000000000001</v>
      </c>
      <c r="J12" t="s">
        <v>41</v>
      </c>
    </row>
    <row r="13" spans="1:10" x14ac:dyDescent="0.3">
      <c r="A13" t="s">
        <v>42</v>
      </c>
      <c r="B13" s="1">
        <v>43283</v>
      </c>
      <c r="C13" t="s">
        <v>11</v>
      </c>
      <c r="D13" t="s">
        <v>27</v>
      </c>
      <c r="E13">
        <v>7</v>
      </c>
      <c r="F13">
        <v>80</v>
      </c>
      <c r="G13">
        <v>560</v>
      </c>
      <c r="H13">
        <v>7.0000000000000007E-2</v>
      </c>
      <c r="I13">
        <v>39.200000000000003</v>
      </c>
      <c r="J13" t="s">
        <v>43</v>
      </c>
    </row>
    <row r="14" spans="1:10" x14ac:dyDescent="0.3">
      <c r="A14" t="s">
        <v>44</v>
      </c>
      <c r="B14" s="1">
        <v>43283</v>
      </c>
      <c r="C14" t="s">
        <v>11</v>
      </c>
      <c r="D14" t="s">
        <v>31</v>
      </c>
      <c r="E14">
        <v>9</v>
      </c>
      <c r="F14">
        <v>80</v>
      </c>
      <c r="G14">
        <v>720</v>
      </c>
      <c r="H14">
        <v>0.02</v>
      </c>
      <c r="I14">
        <v>14.4</v>
      </c>
      <c r="J14" t="s">
        <v>13</v>
      </c>
    </row>
    <row r="15" spans="1:10" x14ac:dyDescent="0.3">
      <c r="A15" t="s">
        <v>45</v>
      </c>
      <c r="B15" s="1">
        <v>43283</v>
      </c>
      <c r="C15" t="s">
        <v>15</v>
      </c>
      <c r="D15" t="s">
        <v>31</v>
      </c>
      <c r="E15">
        <v>16</v>
      </c>
      <c r="F15">
        <v>40</v>
      </c>
      <c r="G15">
        <v>640</v>
      </c>
      <c r="H15">
        <v>0.09</v>
      </c>
      <c r="I15">
        <v>57.6</v>
      </c>
      <c r="J15" t="s">
        <v>17</v>
      </c>
    </row>
    <row r="16" spans="1:10" x14ac:dyDescent="0.3">
      <c r="A16" t="s">
        <v>46</v>
      </c>
      <c r="B16" s="1">
        <v>43283</v>
      </c>
      <c r="C16" t="s">
        <v>34</v>
      </c>
      <c r="D16" t="s">
        <v>16</v>
      </c>
      <c r="E16">
        <v>23</v>
      </c>
      <c r="F16">
        <v>150</v>
      </c>
      <c r="G16">
        <v>3450</v>
      </c>
      <c r="H16">
        <v>0.11</v>
      </c>
      <c r="I16">
        <v>379.5</v>
      </c>
      <c r="J16" t="s">
        <v>20</v>
      </c>
    </row>
    <row r="17" spans="1:10" x14ac:dyDescent="0.3">
      <c r="A17" t="s">
        <v>47</v>
      </c>
      <c r="B17" s="1">
        <v>43283</v>
      </c>
      <c r="C17" t="s">
        <v>30</v>
      </c>
      <c r="D17" t="s">
        <v>27</v>
      </c>
      <c r="E17">
        <v>22</v>
      </c>
      <c r="F17">
        <v>16</v>
      </c>
      <c r="G17">
        <v>352</v>
      </c>
      <c r="H17">
        <v>0.03</v>
      </c>
      <c r="I17">
        <v>10.56</v>
      </c>
      <c r="J17" t="s">
        <v>22</v>
      </c>
    </row>
    <row r="18" spans="1:10" x14ac:dyDescent="0.3">
      <c r="A18" t="s">
        <v>48</v>
      </c>
      <c r="B18" s="1">
        <v>43283</v>
      </c>
      <c r="C18" t="s">
        <v>15</v>
      </c>
      <c r="D18" t="s">
        <v>27</v>
      </c>
      <c r="E18">
        <v>23</v>
      </c>
      <c r="F18">
        <v>40</v>
      </c>
      <c r="G18">
        <v>920</v>
      </c>
      <c r="H18">
        <v>0.06</v>
      </c>
      <c r="I18">
        <v>55.2</v>
      </c>
      <c r="J18" t="s">
        <v>25</v>
      </c>
    </row>
    <row r="19" spans="1:10" x14ac:dyDescent="0.3">
      <c r="A19" t="s">
        <v>49</v>
      </c>
      <c r="B19" s="1">
        <v>43283</v>
      </c>
      <c r="C19" t="s">
        <v>11</v>
      </c>
      <c r="D19" t="s">
        <v>12</v>
      </c>
      <c r="E19">
        <v>20</v>
      </c>
      <c r="F19">
        <v>80</v>
      </c>
      <c r="G19">
        <v>1600</v>
      </c>
      <c r="H19">
        <v>0.01</v>
      </c>
      <c r="I19">
        <v>16</v>
      </c>
      <c r="J19" t="s">
        <v>28</v>
      </c>
    </row>
    <row r="20" spans="1:10" x14ac:dyDescent="0.3">
      <c r="A20" t="s">
        <v>50</v>
      </c>
      <c r="B20" s="1">
        <v>43284</v>
      </c>
      <c r="C20" t="s">
        <v>11</v>
      </c>
      <c r="D20" t="s">
        <v>27</v>
      </c>
      <c r="E20">
        <v>11</v>
      </c>
      <c r="F20">
        <v>80</v>
      </c>
      <c r="G20">
        <v>880</v>
      </c>
      <c r="H20">
        <v>0.01</v>
      </c>
      <c r="I20">
        <v>8.8000000000000007</v>
      </c>
      <c r="J20" t="s">
        <v>32</v>
      </c>
    </row>
    <row r="21" spans="1:10" x14ac:dyDescent="0.3">
      <c r="A21" t="s">
        <v>51</v>
      </c>
      <c r="B21" s="1">
        <v>43284</v>
      </c>
      <c r="C21" t="s">
        <v>15</v>
      </c>
      <c r="D21" t="s">
        <v>27</v>
      </c>
      <c r="E21">
        <v>9</v>
      </c>
      <c r="F21">
        <v>40</v>
      </c>
      <c r="G21">
        <v>360</v>
      </c>
      <c r="H21">
        <v>0.06</v>
      </c>
      <c r="I21">
        <v>21.6</v>
      </c>
      <c r="J21" t="s">
        <v>35</v>
      </c>
    </row>
    <row r="22" spans="1:10" x14ac:dyDescent="0.3">
      <c r="A22" t="s">
        <v>52</v>
      </c>
      <c r="B22" s="1">
        <v>43284</v>
      </c>
      <c r="C22" t="s">
        <v>11</v>
      </c>
      <c r="D22" t="s">
        <v>31</v>
      </c>
      <c r="E22">
        <v>16</v>
      </c>
      <c r="F22">
        <v>80</v>
      </c>
      <c r="G22">
        <v>1280</v>
      </c>
      <c r="H22">
        <v>0.09</v>
      </c>
      <c r="I22">
        <v>115.2</v>
      </c>
      <c r="J22" t="s">
        <v>37</v>
      </c>
    </row>
    <row r="23" spans="1:10" x14ac:dyDescent="0.3">
      <c r="A23" t="s">
        <v>53</v>
      </c>
      <c r="B23" s="1">
        <v>43284</v>
      </c>
      <c r="C23" t="s">
        <v>11</v>
      </c>
      <c r="D23" t="s">
        <v>24</v>
      </c>
      <c r="E23">
        <v>10</v>
      </c>
      <c r="F23">
        <v>80</v>
      </c>
      <c r="G23">
        <v>800</v>
      </c>
      <c r="H23">
        <v>0.08</v>
      </c>
      <c r="I23">
        <v>64</v>
      </c>
      <c r="J23" t="s">
        <v>39</v>
      </c>
    </row>
    <row r="24" spans="1:10" x14ac:dyDescent="0.3">
      <c r="A24" t="s">
        <v>54</v>
      </c>
      <c r="B24" s="1">
        <v>43284</v>
      </c>
      <c r="C24" t="s">
        <v>30</v>
      </c>
      <c r="D24" t="s">
        <v>24</v>
      </c>
      <c r="E24">
        <v>12</v>
      </c>
      <c r="F24">
        <v>16</v>
      </c>
      <c r="G24">
        <v>192</v>
      </c>
      <c r="H24">
        <v>0.11</v>
      </c>
      <c r="I24">
        <v>21.12</v>
      </c>
      <c r="J24" t="s">
        <v>41</v>
      </c>
    </row>
    <row r="25" spans="1:10" x14ac:dyDescent="0.3">
      <c r="A25" t="s">
        <v>55</v>
      </c>
      <c r="B25" s="1">
        <v>43284</v>
      </c>
      <c r="C25" t="s">
        <v>34</v>
      </c>
      <c r="D25" t="s">
        <v>27</v>
      </c>
      <c r="E25">
        <v>6</v>
      </c>
      <c r="F25">
        <v>150</v>
      </c>
      <c r="G25">
        <v>900</v>
      </c>
      <c r="H25">
        <v>0.03</v>
      </c>
      <c r="I25">
        <v>27</v>
      </c>
      <c r="J25" t="s">
        <v>43</v>
      </c>
    </row>
    <row r="26" spans="1:10" x14ac:dyDescent="0.3">
      <c r="A26" t="s">
        <v>56</v>
      </c>
      <c r="B26" s="1">
        <v>43284</v>
      </c>
      <c r="C26" t="s">
        <v>30</v>
      </c>
      <c r="D26" t="s">
        <v>24</v>
      </c>
      <c r="E26">
        <v>11</v>
      </c>
      <c r="F26">
        <v>16</v>
      </c>
      <c r="G26">
        <v>176</v>
      </c>
      <c r="H26">
        <v>0.04</v>
      </c>
      <c r="I26">
        <v>7.04</v>
      </c>
      <c r="J26" t="s">
        <v>13</v>
      </c>
    </row>
    <row r="27" spans="1:10" x14ac:dyDescent="0.3">
      <c r="A27" t="s">
        <v>57</v>
      </c>
      <c r="B27" s="1">
        <v>43284</v>
      </c>
      <c r="C27" t="s">
        <v>11</v>
      </c>
      <c r="D27" t="s">
        <v>27</v>
      </c>
      <c r="E27">
        <v>22</v>
      </c>
      <c r="F27">
        <v>80</v>
      </c>
      <c r="G27">
        <v>1760</v>
      </c>
      <c r="H27">
        <v>0.03</v>
      </c>
      <c r="I27">
        <v>52.8</v>
      </c>
      <c r="J27" t="s">
        <v>17</v>
      </c>
    </row>
    <row r="28" spans="1:10" x14ac:dyDescent="0.3">
      <c r="A28" t="s">
        <v>58</v>
      </c>
      <c r="B28" s="1">
        <v>43284</v>
      </c>
      <c r="C28" t="s">
        <v>30</v>
      </c>
      <c r="D28" t="s">
        <v>16</v>
      </c>
      <c r="E28">
        <v>7</v>
      </c>
      <c r="F28">
        <v>16</v>
      </c>
      <c r="G28">
        <v>112</v>
      </c>
      <c r="H28">
        <v>0.08</v>
      </c>
      <c r="I28">
        <v>8.9600000000000009</v>
      </c>
      <c r="J28" t="s">
        <v>20</v>
      </c>
    </row>
    <row r="29" spans="1:10" x14ac:dyDescent="0.3">
      <c r="A29" t="s">
        <v>59</v>
      </c>
      <c r="B29" s="1">
        <v>43284</v>
      </c>
      <c r="C29" t="s">
        <v>15</v>
      </c>
      <c r="D29" t="s">
        <v>27</v>
      </c>
      <c r="E29">
        <v>13</v>
      </c>
      <c r="F29">
        <v>40</v>
      </c>
      <c r="G29">
        <v>520</v>
      </c>
      <c r="H29">
        <v>0.09</v>
      </c>
      <c r="I29">
        <v>46.8</v>
      </c>
      <c r="J29" t="s">
        <v>22</v>
      </c>
    </row>
    <row r="30" spans="1:10" x14ac:dyDescent="0.3">
      <c r="A30" t="s">
        <v>60</v>
      </c>
      <c r="B30" s="1">
        <v>43284</v>
      </c>
      <c r="C30" t="s">
        <v>19</v>
      </c>
      <c r="D30" t="s">
        <v>27</v>
      </c>
      <c r="E30">
        <v>8</v>
      </c>
      <c r="F30">
        <v>230</v>
      </c>
      <c r="G30">
        <v>1840</v>
      </c>
      <c r="H30">
        <v>0.05</v>
      </c>
      <c r="I30">
        <v>92</v>
      </c>
      <c r="J30" t="s">
        <v>25</v>
      </c>
    </row>
    <row r="31" spans="1:10" x14ac:dyDescent="0.3">
      <c r="A31" t="s">
        <v>61</v>
      </c>
      <c r="B31" s="1">
        <v>43284</v>
      </c>
      <c r="C31" t="s">
        <v>30</v>
      </c>
      <c r="D31" t="s">
        <v>27</v>
      </c>
      <c r="E31">
        <v>14</v>
      </c>
      <c r="F31">
        <v>16</v>
      </c>
      <c r="G31">
        <v>224</v>
      </c>
      <c r="H31">
        <v>0.12</v>
      </c>
      <c r="I31">
        <v>26.88</v>
      </c>
      <c r="J31" t="s">
        <v>28</v>
      </c>
    </row>
    <row r="32" spans="1:10" x14ac:dyDescent="0.3">
      <c r="A32" t="s">
        <v>62</v>
      </c>
      <c r="B32" s="1">
        <v>43284</v>
      </c>
      <c r="C32" t="s">
        <v>15</v>
      </c>
      <c r="D32" t="s">
        <v>31</v>
      </c>
      <c r="E32">
        <v>16</v>
      </c>
      <c r="F32">
        <v>40</v>
      </c>
      <c r="G32">
        <v>640</v>
      </c>
      <c r="H32">
        <v>0.09</v>
      </c>
      <c r="I32">
        <v>57.6</v>
      </c>
      <c r="J32" t="s">
        <v>32</v>
      </c>
    </row>
    <row r="33" spans="1:10" x14ac:dyDescent="0.3">
      <c r="A33" t="s">
        <v>63</v>
      </c>
      <c r="B33" s="1">
        <v>43285</v>
      </c>
      <c r="C33" t="s">
        <v>34</v>
      </c>
      <c r="D33" t="s">
        <v>16</v>
      </c>
      <c r="E33">
        <v>16</v>
      </c>
      <c r="F33">
        <v>150</v>
      </c>
      <c r="G33">
        <v>2400</v>
      </c>
      <c r="H33">
        <v>0.05</v>
      </c>
      <c r="I33">
        <v>120</v>
      </c>
      <c r="J33" t="s">
        <v>35</v>
      </c>
    </row>
    <row r="34" spans="1:10" x14ac:dyDescent="0.3">
      <c r="A34" t="s">
        <v>64</v>
      </c>
      <c r="B34" s="1">
        <v>43285</v>
      </c>
      <c r="C34" t="s">
        <v>15</v>
      </c>
      <c r="D34" t="s">
        <v>16</v>
      </c>
      <c r="E34">
        <v>12</v>
      </c>
      <c r="F34">
        <v>40</v>
      </c>
      <c r="G34">
        <v>480</v>
      </c>
      <c r="H34">
        <v>0.1</v>
      </c>
      <c r="I34">
        <v>48</v>
      </c>
      <c r="J34" t="s">
        <v>37</v>
      </c>
    </row>
    <row r="35" spans="1:10" x14ac:dyDescent="0.3">
      <c r="A35" t="s">
        <v>65</v>
      </c>
      <c r="B35" s="1">
        <v>43285</v>
      </c>
      <c r="C35" t="s">
        <v>11</v>
      </c>
      <c r="D35" t="s">
        <v>31</v>
      </c>
      <c r="E35">
        <v>17</v>
      </c>
      <c r="F35">
        <v>80</v>
      </c>
      <c r="G35">
        <v>1360</v>
      </c>
      <c r="H35">
        <v>7.0000000000000007E-2</v>
      </c>
      <c r="I35">
        <v>95.2</v>
      </c>
      <c r="J35" t="s">
        <v>39</v>
      </c>
    </row>
    <row r="36" spans="1:10" x14ac:dyDescent="0.3">
      <c r="A36" t="s">
        <v>66</v>
      </c>
      <c r="B36" s="1">
        <v>43285</v>
      </c>
      <c r="C36" t="s">
        <v>19</v>
      </c>
      <c r="D36" t="s">
        <v>27</v>
      </c>
      <c r="E36">
        <v>19</v>
      </c>
      <c r="F36">
        <v>230</v>
      </c>
      <c r="G36">
        <v>4370</v>
      </c>
      <c r="H36">
        <v>0.06</v>
      </c>
      <c r="I36">
        <v>262.2</v>
      </c>
      <c r="J36" t="s">
        <v>41</v>
      </c>
    </row>
    <row r="37" spans="1:10" x14ac:dyDescent="0.3">
      <c r="A37" t="s">
        <v>67</v>
      </c>
      <c r="B37" s="1">
        <v>43285</v>
      </c>
      <c r="C37" t="s">
        <v>19</v>
      </c>
      <c r="D37" t="s">
        <v>31</v>
      </c>
      <c r="E37">
        <v>22</v>
      </c>
      <c r="F37">
        <v>230</v>
      </c>
      <c r="G37">
        <v>5060</v>
      </c>
      <c r="H37">
        <v>0.1</v>
      </c>
      <c r="I37">
        <v>506</v>
      </c>
      <c r="J37" t="s">
        <v>43</v>
      </c>
    </row>
    <row r="38" spans="1:10" x14ac:dyDescent="0.3">
      <c r="A38" t="s">
        <v>68</v>
      </c>
      <c r="B38" s="1">
        <v>43285</v>
      </c>
      <c r="C38" t="s">
        <v>15</v>
      </c>
      <c r="D38" t="s">
        <v>27</v>
      </c>
      <c r="E38">
        <v>22</v>
      </c>
      <c r="F38">
        <v>40</v>
      </c>
      <c r="G38">
        <v>880</v>
      </c>
      <c r="H38">
        <v>0.01</v>
      </c>
      <c r="I38">
        <v>8.8000000000000007</v>
      </c>
      <c r="J38" t="s">
        <v>13</v>
      </c>
    </row>
    <row r="39" spans="1:10" x14ac:dyDescent="0.3">
      <c r="A39" t="s">
        <v>69</v>
      </c>
      <c r="B39" s="1">
        <v>43285</v>
      </c>
      <c r="C39" t="s">
        <v>30</v>
      </c>
      <c r="D39" t="s">
        <v>27</v>
      </c>
      <c r="E39">
        <v>10</v>
      </c>
      <c r="F39">
        <v>16</v>
      </c>
      <c r="G39">
        <v>160</v>
      </c>
      <c r="H39">
        <v>0.04</v>
      </c>
      <c r="I39">
        <v>6.4</v>
      </c>
      <c r="J39" t="s">
        <v>17</v>
      </c>
    </row>
    <row r="40" spans="1:10" x14ac:dyDescent="0.3">
      <c r="A40" t="s">
        <v>70</v>
      </c>
      <c r="B40" s="1">
        <v>43285</v>
      </c>
      <c r="C40" t="s">
        <v>15</v>
      </c>
      <c r="D40" t="s">
        <v>16</v>
      </c>
      <c r="E40">
        <v>4</v>
      </c>
      <c r="F40">
        <v>40</v>
      </c>
      <c r="G40">
        <v>160</v>
      </c>
      <c r="H40">
        <v>0.12</v>
      </c>
      <c r="I40">
        <v>19.2</v>
      </c>
      <c r="J40" t="s">
        <v>20</v>
      </c>
    </row>
    <row r="41" spans="1:10" x14ac:dyDescent="0.3">
      <c r="A41" t="s">
        <v>71</v>
      </c>
      <c r="B41" s="1">
        <v>43285</v>
      </c>
      <c r="C41" t="s">
        <v>15</v>
      </c>
      <c r="D41" t="s">
        <v>31</v>
      </c>
      <c r="E41">
        <v>20</v>
      </c>
      <c r="F41">
        <v>40</v>
      </c>
      <c r="G41">
        <v>800</v>
      </c>
      <c r="H41">
        <v>0.05</v>
      </c>
      <c r="I41">
        <v>40</v>
      </c>
      <c r="J41" t="s">
        <v>22</v>
      </c>
    </row>
    <row r="42" spans="1:10" x14ac:dyDescent="0.3">
      <c r="A42" t="s">
        <v>72</v>
      </c>
      <c r="B42" s="1">
        <v>43286</v>
      </c>
      <c r="C42" t="s">
        <v>19</v>
      </c>
      <c r="D42" t="s">
        <v>27</v>
      </c>
      <c r="E42">
        <v>23</v>
      </c>
      <c r="F42">
        <v>230</v>
      </c>
      <c r="G42">
        <v>5290</v>
      </c>
      <c r="H42">
        <v>0.06</v>
      </c>
      <c r="I42">
        <v>317.39999999999998</v>
      </c>
      <c r="J42" t="s">
        <v>25</v>
      </c>
    </row>
    <row r="43" spans="1:10" x14ac:dyDescent="0.3">
      <c r="A43" t="s">
        <v>73</v>
      </c>
      <c r="B43" s="1">
        <v>43286</v>
      </c>
      <c r="C43" t="s">
        <v>15</v>
      </c>
      <c r="D43" t="s">
        <v>24</v>
      </c>
      <c r="E43">
        <v>20</v>
      </c>
      <c r="F43">
        <v>40</v>
      </c>
      <c r="G43">
        <v>800</v>
      </c>
      <c r="H43">
        <v>0.01</v>
      </c>
      <c r="I43">
        <v>8</v>
      </c>
      <c r="J43" t="s">
        <v>28</v>
      </c>
    </row>
    <row r="44" spans="1:10" x14ac:dyDescent="0.3">
      <c r="A44" t="s">
        <v>74</v>
      </c>
      <c r="B44" s="1">
        <v>43286</v>
      </c>
      <c r="C44" t="s">
        <v>34</v>
      </c>
      <c r="D44" t="s">
        <v>24</v>
      </c>
      <c r="E44">
        <v>20</v>
      </c>
      <c r="F44">
        <v>150</v>
      </c>
      <c r="G44">
        <v>3000</v>
      </c>
      <c r="H44">
        <v>0.04</v>
      </c>
      <c r="I44">
        <v>120</v>
      </c>
      <c r="J44" t="s">
        <v>32</v>
      </c>
    </row>
    <row r="45" spans="1:10" x14ac:dyDescent="0.3">
      <c r="A45" t="s">
        <v>75</v>
      </c>
      <c r="B45" s="1">
        <v>43286</v>
      </c>
      <c r="C45" t="s">
        <v>11</v>
      </c>
      <c r="D45" t="s">
        <v>16</v>
      </c>
      <c r="E45">
        <v>9</v>
      </c>
      <c r="F45">
        <v>80</v>
      </c>
      <c r="G45">
        <v>720</v>
      </c>
      <c r="H45">
        <v>0.03</v>
      </c>
      <c r="I45">
        <v>21.6</v>
      </c>
      <c r="J45" t="s">
        <v>35</v>
      </c>
    </row>
    <row r="46" spans="1:10" x14ac:dyDescent="0.3">
      <c r="A46" t="s">
        <v>76</v>
      </c>
      <c r="B46" s="1">
        <v>43286</v>
      </c>
      <c r="C46" t="s">
        <v>19</v>
      </c>
      <c r="D46" t="s">
        <v>12</v>
      </c>
      <c r="E46">
        <v>7</v>
      </c>
      <c r="F46">
        <v>230</v>
      </c>
      <c r="G46">
        <v>1610</v>
      </c>
      <c r="H46">
        <v>0.02</v>
      </c>
      <c r="I46">
        <v>32.200000000000003</v>
      </c>
      <c r="J46" t="s">
        <v>37</v>
      </c>
    </row>
    <row r="47" spans="1:10" x14ac:dyDescent="0.3">
      <c r="A47" t="s">
        <v>77</v>
      </c>
      <c r="B47" s="1">
        <v>43286</v>
      </c>
      <c r="C47" t="s">
        <v>19</v>
      </c>
      <c r="D47" t="s">
        <v>12</v>
      </c>
      <c r="E47">
        <v>3</v>
      </c>
      <c r="F47">
        <v>230</v>
      </c>
      <c r="G47">
        <v>690</v>
      </c>
      <c r="H47">
        <v>0.06</v>
      </c>
      <c r="I47">
        <v>41.4</v>
      </c>
      <c r="J47" t="s">
        <v>39</v>
      </c>
    </row>
    <row r="48" spans="1:10" x14ac:dyDescent="0.3">
      <c r="A48" t="s">
        <v>78</v>
      </c>
      <c r="B48" s="1">
        <v>43286</v>
      </c>
      <c r="C48" t="s">
        <v>34</v>
      </c>
      <c r="D48" t="s">
        <v>12</v>
      </c>
      <c r="E48">
        <v>13</v>
      </c>
      <c r="F48">
        <v>150</v>
      </c>
      <c r="G48">
        <v>1950</v>
      </c>
      <c r="H48">
        <v>0.05</v>
      </c>
      <c r="I48">
        <v>97.5</v>
      </c>
      <c r="J48" t="s">
        <v>41</v>
      </c>
    </row>
    <row r="49" spans="1:10" x14ac:dyDescent="0.3">
      <c r="A49" t="s">
        <v>79</v>
      </c>
      <c r="B49" s="1">
        <v>43286</v>
      </c>
      <c r="C49" t="s">
        <v>11</v>
      </c>
      <c r="D49" t="s">
        <v>12</v>
      </c>
      <c r="E49">
        <v>17</v>
      </c>
      <c r="F49">
        <v>80</v>
      </c>
      <c r="G49">
        <v>1360</v>
      </c>
      <c r="H49">
        <v>0.09</v>
      </c>
      <c r="I49">
        <v>122.4</v>
      </c>
      <c r="J49" t="s">
        <v>43</v>
      </c>
    </row>
    <row r="50" spans="1:10" x14ac:dyDescent="0.3">
      <c r="A50" t="s">
        <v>80</v>
      </c>
      <c r="B50" s="1">
        <v>43287</v>
      </c>
      <c r="C50" t="s">
        <v>15</v>
      </c>
      <c r="D50" t="s">
        <v>27</v>
      </c>
      <c r="E50">
        <v>18</v>
      </c>
      <c r="F50">
        <v>40</v>
      </c>
      <c r="G50">
        <v>720</v>
      </c>
      <c r="H50">
        <v>0.06</v>
      </c>
      <c r="I50">
        <v>43.2</v>
      </c>
      <c r="J50" t="s">
        <v>13</v>
      </c>
    </row>
    <row r="51" spans="1:10" x14ac:dyDescent="0.3">
      <c r="A51" t="s">
        <v>81</v>
      </c>
      <c r="B51" s="1">
        <v>43287</v>
      </c>
      <c r="C51" t="s">
        <v>30</v>
      </c>
      <c r="D51" t="s">
        <v>24</v>
      </c>
      <c r="E51">
        <v>23</v>
      </c>
      <c r="F51">
        <v>16</v>
      </c>
      <c r="G51">
        <v>368</v>
      </c>
      <c r="H51">
        <v>0.11</v>
      </c>
      <c r="I51">
        <v>40.479999999999997</v>
      </c>
      <c r="J51" t="s">
        <v>17</v>
      </c>
    </row>
    <row r="52" spans="1:10" x14ac:dyDescent="0.3">
      <c r="A52" t="s">
        <v>82</v>
      </c>
      <c r="B52" s="1">
        <v>43287</v>
      </c>
      <c r="C52" t="s">
        <v>19</v>
      </c>
      <c r="D52" t="s">
        <v>24</v>
      </c>
      <c r="E52">
        <v>20</v>
      </c>
      <c r="F52">
        <v>230</v>
      </c>
      <c r="G52">
        <v>4600</v>
      </c>
      <c r="H52">
        <v>0.06</v>
      </c>
      <c r="I52">
        <v>276</v>
      </c>
      <c r="J52" t="s">
        <v>20</v>
      </c>
    </row>
    <row r="53" spans="1:10" x14ac:dyDescent="0.3">
      <c r="A53" t="s">
        <v>83</v>
      </c>
      <c r="B53" s="1">
        <v>43287</v>
      </c>
      <c r="C53" t="s">
        <v>30</v>
      </c>
      <c r="D53" t="s">
        <v>12</v>
      </c>
      <c r="E53">
        <v>11</v>
      </c>
      <c r="F53">
        <v>16</v>
      </c>
      <c r="G53">
        <v>176</v>
      </c>
      <c r="H53">
        <v>0.09</v>
      </c>
      <c r="I53">
        <v>15.84</v>
      </c>
      <c r="J53" t="s">
        <v>22</v>
      </c>
    </row>
    <row r="54" spans="1:10" x14ac:dyDescent="0.3">
      <c r="A54" t="s">
        <v>84</v>
      </c>
      <c r="B54" s="1">
        <v>43287</v>
      </c>
      <c r="C54" t="s">
        <v>34</v>
      </c>
      <c r="D54" t="s">
        <v>31</v>
      </c>
      <c r="E54">
        <v>15</v>
      </c>
      <c r="F54">
        <v>150</v>
      </c>
      <c r="G54">
        <v>2250</v>
      </c>
      <c r="H54">
        <v>7.0000000000000007E-2</v>
      </c>
      <c r="I54">
        <v>157.5</v>
      </c>
      <c r="J54" t="s">
        <v>25</v>
      </c>
    </row>
    <row r="55" spans="1:10" x14ac:dyDescent="0.3">
      <c r="A55" t="s">
        <v>85</v>
      </c>
      <c r="B55" s="1">
        <v>43287</v>
      </c>
      <c r="C55" t="s">
        <v>19</v>
      </c>
      <c r="D55" t="s">
        <v>16</v>
      </c>
      <c r="E55">
        <v>6</v>
      </c>
      <c r="F55">
        <v>230</v>
      </c>
      <c r="G55">
        <v>1380</v>
      </c>
      <c r="H55">
        <v>0.1</v>
      </c>
      <c r="I55">
        <v>138</v>
      </c>
      <c r="J55" t="s">
        <v>28</v>
      </c>
    </row>
    <row r="56" spans="1:10" x14ac:dyDescent="0.3">
      <c r="A56" t="s">
        <v>86</v>
      </c>
      <c r="B56" s="1">
        <v>43287</v>
      </c>
      <c r="C56" t="s">
        <v>15</v>
      </c>
      <c r="D56" t="s">
        <v>12</v>
      </c>
      <c r="E56">
        <v>22</v>
      </c>
      <c r="F56">
        <v>40</v>
      </c>
      <c r="G56">
        <v>880</v>
      </c>
      <c r="H56">
        <v>0.02</v>
      </c>
      <c r="I56">
        <v>17.600000000000001</v>
      </c>
      <c r="J56" t="s">
        <v>32</v>
      </c>
    </row>
    <row r="57" spans="1:10" x14ac:dyDescent="0.3">
      <c r="A57" t="s">
        <v>87</v>
      </c>
      <c r="B57" s="1">
        <v>43287</v>
      </c>
      <c r="C57" t="s">
        <v>15</v>
      </c>
      <c r="D57" t="s">
        <v>12</v>
      </c>
      <c r="E57">
        <v>15</v>
      </c>
      <c r="F57">
        <v>40</v>
      </c>
      <c r="G57">
        <v>600</v>
      </c>
      <c r="H57">
        <v>0.06</v>
      </c>
      <c r="I57">
        <v>36</v>
      </c>
      <c r="J57" t="s">
        <v>35</v>
      </c>
    </row>
    <row r="58" spans="1:10" x14ac:dyDescent="0.3">
      <c r="A58" t="s">
        <v>88</v>
      </c>
      <c r="B58" s="1">
        <v>43287</v>
      </c>
      <c r="C58" t="s">
        <v>30</v>
      </c>
      <c r="D58" t="s">
        <v>24</v>
      </c>
      <c r="E58">
        <v>12</v>
      </c>
      <c r="F58">
        <v>16</v>
      </c>
      <c r="G58">
        <v>192</v>
      </c>
      <c r="H58">
        <v>0.03</v>
      </c>
      <c r="I58">
        <v>5.76</v>
      </c>
      <c r="J58" t="s">
        <v>37</v>
      </c>
    </row>
    <row r="59" spans="1:10" x14ac:dyDescent="0.3">
      <c r="A59" t="s">
        <v>89</v>
      </c>
      <c r="B59" s="1">
        <v>43287</v>
      </c>
      <c r="C59" t="s">
        <v>30</v>
      </c>
      <c r="D59" t="s">
        <v>31</v>
      </c>
      <c r="E59">
        <v>22</v>
      </c>
      <c r="F59">
        <v>16</v>
      </c>
      <c r="G59">
        <v>352</v>
      </c>
      <c r="H59">
        <v>0.12</v>
      </c>
      <c r="I59">
        <v>42.24</v>
      </c>
      <c r="J59" t="s">
        <v>39</v>
      </c>
    </row>
    <row r="60" spans="1:10" x14ac:dyDescent="0.3">
      <c r="A60" t="s">
        <v>90</v>
      </c>
      <c r="B60" s="1">
        <v>43287</v>
      </c>
      <c r="C60" t="s">
        <v>11</v>
      </c>
      <c r="D60" t="s">
        <v>12</v>
      </c>
      <c r="E60">
        <v>21</v>
      </c>
      <c r="F60">
        <v>80</v>
      </c>
      <c r="G60">
        <v>1680</v>
      </c>
      <c r="H60">
        <v>0.04</v>
      </c>
      <c r="I60">
        <v>67.2</v>
      </c>
      <c r="J60" t="s">
        <v>41</v>
      </c>
    </row>
    <row r="61" spans="1:10" x14ac:dyDescent="0.3">
      <c r="A61" t="s">
        <v>91</v>
      </c>
      <c r="B61" s="1">
        <v>43287</v>
      </c>
      <c r="C61" t="s">
        <v>34</v>
      </c>
      <c r="D61" t="s">
        <v>12</v>
      </c>
      <c r="E61">
        <v>22</v>
      </c>
      <c r="F61">
        <v>150</v>
      </c>
      <c r="G61">
        <v>3300</v>
      </c>
      <c r="H61">
        <v>0.05</v>
      </c>
      <c r="I61">
        <v>165</v>
      </c>
      <c r="J61" t="s">
        <v>43</v>
      </c>
    </row>
    <row r="62" spans="1:10" x14ac:dyDescent="0.3">
      <c r="A62" t="s">
        <v>92</v>
      </c>
      <c r="B62" s="1">
        <v>43287</v>
      </c>
      <c r="C62" t="s">
        <v>11</v>
      </c>
      <c r="D62" t="s">
        <v>31</v>
      </c>
      <c r="E62">
        <v>21</v>
      </c>
      <c r="F62">
        <v>80</v>
      </c>
      <c r="G62">
        <v>1680</v>
      </c>
      <c r="H62">
        <v>0.09</v>
      </c>
      <c r="I62">
        <v>151.19999999999999</v>
      </c>
      <c r="J62" t="s">
        <v>13</v>
      </c>
    </row>
    <row r="63" spans="1:10" x14ac:dyDescent="0.3">
      <c r="A63" t="s">
        <v>93</v>
      </c>
      <c r="B63" s="1">
        <v>43287</v>
      </c>
      <c r="C63" t="s">
        <v>11</v>
      </c>
      <c r="D63" t="s">
        <v>27</v>
      </c>
      <c r="E63">
        <v>10</v>
      </c>
      <c r="F63">
        <v>80</v>
      </c>
      <c r="G63">
        <v>800</v>
      </c>
      <c r="H63">
        <v>0.1</v>
      </c>
      <c r="I63">
        <v>80</v>
      </c>
      <c r="J63" t="s">
        <v>17</v>
      </c>
    </row>
    <row r="64" spans="1:10" x14ac:dyDescent="0.3">
      <c r="A64" t="s">
        <v>94</v>
      </c>
      <c r="B64" s="1">
        <v>43287</v>
      </c>
      <c r="C64" t="s">
        <v>19</v>
      </c>
      <c r="D64" t="s">
        <v>16</v>
      </c>
      <c r="E64">
        <v>15</v>
      </c>
      <c r="F64">
        <v>230</v>
      </c>
      <c r="G64">
        <v>3450</v>
      </c>
      <c r="H64">
        <v>0.09</v>
      </c>
      <c r="I64">
        <v>310.5</v>
      </c>
      <c r="J64" t="s">
        <v>20</v>
      </c>
    </row>
    <row r="65" spans="1:10" x14ac:dyDescent="0.3">
      <c r="A65" t="s">
        <v>95</v>
      </c>
      <c r="B65" s="1">
        <v>43288</v>
      </c>
      <c r="C65" t="s">
        <v>11</v>
      </c>
      <c r="D65" t="s">
        <v>12</v>
      </c>
      <c r="E65">
        <v>14</v>
      </c>
      <c r="F65">
        <v>80</v>
      </c>
      <c r="G65">
        <v>1120</v>
      </c>
      <c r="H65">
        <v>0.08</v>
      </c>
      <c r="I65">
        <v>89.6</v>
      </c>
      <c r="J65" t="s">
        <v>22</v>
      </c>
    </row>
    <row r="66" spans="1:10" x14ac:dyDescent="0.3">
      <c r="A66" t="s">
        <v>96</v>
      </c>
      <c r="B66" s="1">
        <v>43288</v>
      </c>
      <c r="C66" t="s">
        <v>11</v>
      </c>
      <c r="D66" t="s">
        <v>31</v>
      </c>
      <c r="E66">
        <v>10</v>
      </c>
      <c r="F66">
        <v>80</v>
      </c>
      <c r="G66">
        <v>800</v>
      </c>
      <c r="H66">
        <v>0.06</v>
      </c>
      <c r="I66">
        <v>48</v>
      </c>
      <c r="J66" t="s">
        <v>25</v>
      </c>
    </row>
    <row r="67" spans="1:10" x14ac:dyDescent="0.3">
      <c r="A67" t="s">
        <v>97</v>
      </c>
      <c r="B67" s="1">
        <v>43288</v>
      </c>
      <c r="C67" t="s">
        <v>34</v>
      </c>
      <c r="D67" t="s">
        <v>12</v>
      </c>
      <c r="E67">
        <v>5</v>
      </c>
      <c r="F67">
        <v>150</v>
      </c>
      <c r="G67">
        <v>750</v>
      </c>
      <c r="H67">
        <v>0.11</v>
      </c>
      <c r="I67">
        <v>82.5</v>
      </c>
      <c r="J67" t="s">
        <v>28</v>
      </c>
    </row>
    <row r="68" spans="1:10" x14ac:dyDescent="0.3">
      <c r="A68" t="s">
        <v>98</v>
      </c>
      <c r="B68" s="1">
        <v>43288</v>
      </c>
      <c r="C68" t="s">
        <v>19</v>
      </c>
      <c r="D68" t="s">
        <v>27</v>
      </c>
      <c r="E68">
        <v>3</v>
      </c>
      <c r="F68">
        <v>230</v>
      </c>
      <c r="G68">
        <v>690</v>
      </c>
      <c r="H68">
        <v>0.01</v>
      </c>
      <c r="I68">
        <v>6.9</v>
      </c>
      <c r="J68" t="s">
        <v>32</v>
      </c>
    </row>
    <row r="69" spans="1:10" x14ac:dyDescent="0.3">
      <c r="A69" t="s">
        <v>99</v>
      </c>
      <c r="B69" s="1">
        <v>43288</v>
      </c>
      <c r="C69" t="s">
        <v>15</v>
      </c>
      <c r="D69" t="s">
        <v>27</v>
      </c>
      <c r="E69">
        <v>4</v>
      </c>
      <c r="F69">
        <v>40</v>
      </c>
      <c r="G69">
        <v>160</v>
      </c>
      <c r="H69">
        <v>0.05</v>
      </c>
      <c r="I69">
        <v>8</v>
      </c>
      <c r="J69" t="s">
        <v>35</v>
      </c>
    </row>
    <row r="70" spans="1:10" x14ac:dyDescent="0.3">
      <c r="A70" t="s">
        <v>100</v>
      </c>
      <c r="B70" s="1">
        <v>43288</v>
      </c>
      <c r="C70" t="s">
        <v>34</v>
      </c>
      <c r="D70" t="s">
        <v>24</v>
      </c>
      <c r="E70">
        <v>18</v>
      </c>
      <c r="F70">
        <v>150</v>
      </c>
      <c r="G70">
        <v>2700</v>
      </c>
      <c r="H70">
        <v>0.06</v>
      </c>
      <c r="I70">
        <v>162</v>
      </c>
      <c r="J70" t="s">
        <v>37</v>
      </c>
    </row>
    <row r="71" spans="1:10" x14ac:dyDescent="0.3">
      <c r="A71" t="s">
        <v>101</v>
      </c>
      <c r="B71" s="1">
        <v>43288</v>
      </c>
      <c r="C71" t="s">
        <v>15</v>
      </c>
      <c r="D71" t="s">
        <v>31</v>
      </c>
      <c r="E71">
        <v>20</v>
      </c>
      <c r="F71">
        <v>40</v>
      </c>
      <c r="G71">
        <v>800</v>
      </c>
      <c r="H71">
        <v>0.1</v>
      </c>
      <c r="I71">
        <v>80</v>
      </c>
      <c r="J71" t="s">
        <v>39</v>
      </c>
    </row>
    <row r="72" spans="1:10" x14ac:dyDescent="0.3">
      <c r="A72" t="s">
        <v>102</v>
      </c>
      <c r="B72" s="1">
        <v>43288</v>
      </c>
      <c r="C72" t="s">
        <v>11</v>
      </c>
      <c r="D72" t="s">
        <v>27</v>
      </c>
      <c r="E72">
        <v>16</v>
      </c>
      <c r="F72">
        <v>80</v>
      </c>
      <c r="G72">
        <v>1280</v>
      </c>
      <c r="H72">
        <v>0.05</v>
      </c>
      <c r="I72">
        <v>64</v>
      </c>
      <c r="J72" t="s">
        <v>13</v>
      </c>
    </row>
    <row r="73" spans="1:10" x14ac:dyDescent="0.3">
      <c r="A73" t="s">
        <v>103</v>
      </c>
      <c r="B73" s="1">
        <v>43288</v>
      </c>
      <c r="C73" t="s">
        <v>15</v>
      </c>
      <c r="D73" t="s">
        <v>24</v>
      </c>
      <c r="E73">
        <v>4</v>
      </c>
      <c r="F73">
        <v>40</v>
      </c>
      <c r="G73">
        <v>160</v>
      </c>
      <c r="H73">
        <v>0.06</v>
      </c>
      <c r="I73">
        <v>9.6</v>
      </c>
      <c r="J73" t="s">
        <v>17</v>
      </c>
    </row>
    <row r="74" spans="1:10" x14ac:dyDescent="0.3">
      <c r="A74" t="s">
        <v>104</v>
      </c>
      <c r="B74" s="1">
        <v>43288</v>
      </c>
      <c r="C74" t="s">
        <v>15</v>
      </c>
      <c r="D74" t="s">
        <v>16</v>
      </c>
      <c r="E74">
        <v>4</v>
      </c>
      <c r="F74">
        <v>40</v>
      </c>
      <c r="G74">
        <v>160</v>
      </c>
      <c r="H74">
        <v>0.03</v>
      </c>
      <c r="I74">
        <v>4.8</v>
      </c>
      <c r="J74" t="s">
        <v>20</v>
      </c>
    </row>
    <row r="75" spans="1:10" x14ac:dyDescent="0.3">
      <c r="A75" t="s">
        <v>105</v>
      </c>
      <c r="B75" s="1">
        <v>43288</v>
      </c>
      <c r="C75" t="s">
        <v>15</v>
      </c>
      <c r="D75" t="s">
        <v>16</v>
      </c>
      <c r="E75">
        <v>15</v>
      </c>
      <c r="F75">
        <v>40</v>
      </c>
      <c r="G75">
        <v>600</v>
      </c>
      <c r="H75">
        <v>0.02</v>
      </c>
      <c r="I75">
        <v>12</v>
      </c>
      <c r="J75" t="s">
        <v>22</v>
      </c>
    </row>
    <row r="76" spans="1:10" x14ac:dyDescent="0.3">
      <c r="A76" t="s">
        <v>106</v>
      </c>
      <c r="B76" s="1">
        <v>43288</v>
      </c>
      <c r="C76" t="s">
        <v>15</v>
      </c>
      <c r="D76" t="s">
        <v>24</v>
      </c>
      <c r="E76">
        <v>20</v>
      </c>
      <c r="F76">
        <v>40</v>
      </c>
      <c r="G76">
        <v>800</v>
      </c>
      <c r="H76">
        <v>0.01</v>
      </c>
      <c r="I76">
        <v>8</v>
      </c>
      <c r="J76" t="s">
        <v>25</v>
      </c>
    </row>
    <row r="77" spans="1:10" x14ac:dyDescent="0.3">
      <c r="A77" t="s">
        <v>107</v>
      </c>
      <c r="B77" s="1">
        <v>43288</v>
      </c>
      <c r="C77" t="s">
        <v>30</v>
      </c>
      <c r="D77" t="s">
        <v>31</v>
      </c>
      <c r="E77">
        <v>14</v>
      </c>
      <c r="F77">
        <v>16</v>
      </c>
      <c r="G77">
        <v>224</v>
      </c>
      <c r="H77">
        <v>0.06</v>
      </c>
      <c r="I77">
        <v>13.44</v>
      </c>
      <c r="J77" t="s">
        <v>28</v>
      </c>
    </row>
    <row r="78" spans="1:10" x14ac:dyDescent="0.3">
      <c r="A78" t="s">
        <v>108</v>
      </c>
      <c r="B78" s="1">
        <v>43289</v>
      </c>
      <c r="C78" t="s">
        <v>34</v>
      </c>
      <c r="D78" t="s">
        <v>24</v>
      </c>
      <c r="E78">
        <v>11</v>
      </c>
      <c r="F78">
        <v>150</v>
      </c>
      <c r="G78">
        <v>1650</v>
      </c>
      <c r="H78">
        <v>0.11</v>
      </c>
      <c r="I78">
        <v>181.5</v>
      </c>
      <c r="J78" t="s">
        <v>32</v>
      </c>
    </row>
    <row r="79" spans="1:10" x14ac:dyDescent="0.3">
      <c r="A79" t="s">
        <v>109</v>
      </c>
      <c r="B79" s="1">
        <v>43289</v>
      </c>
      <c r="C79" t="s">
        <v>34</v>
      </c>
      <c r="D79" t="s">
        <v>24</v>
      </c>
      <c r="E79">
        <v>9</v>
      </c>
      <c r="F79">
        <v>150</v>
      </c>
      <c r="G79">
        <v>1350</v>
      </c>
      <c r="H79">
        <v>0.02</v>
      </c>
      <c r="I79">
        <v>27</v>
      </c>
      <c r="J79" t="s">
        <v>35</v>
      </c>
    </row>
    <row r="80" spans="1:10" x14ac:dyDescent="0.3">
      <c r="A80" t="s">
        <v>110</v>
      </c>
      <c r="B80" s="1">
        <v>43289</v>
      </c>
      <c r="C80" t="s">
        <v>30</v>
      </c>
      <c r="D80" t="s">
        <v>31</v>
      </c>
      <c r="E80">
        <v>11</v>
      </c>
      <c r="F80">
        <v>16</v>
      </c>
      <c r="G80">
        <v>176</v>
      </c>
      <c r="H80">
        <v>0.12</v>
      </c>
      <c r="I80">
        <v>21.12</v>
      </c>
      <c r="J80" t="s">
        <v>37</v>
      </c>
    </row>
    <row r="81" spans="1:10" x14ac:dyDescent="0.3">
      <c r="A81" t="s">
        <v>111</v>
      </c>
      <c r="B81" s="1">
        <v>43289</v>
      </c>
      <c r="C81" t="s">
        <v>15</v>
      </c>
      <c r="D81" t="s">
        <v>24</v>
      </c>
      <c r="E81">
        <v>13</v>
      </c>
      <c r="F81">
        <v>40</v>
      </c>
      <c r="G81">
        <v>520</v>
      </c>
      <c r="H81">
        <v>0.02</v>
      </c>
      <c r="I81">
        <v>10.4</v>
      </c>
      <c r="J81" t="s">
        <v>39</v>
      </c>
    </row>
    <row r="82" spans="1:10" x14ac:dyDescent="0.3">
      <c r="A82" t="s">
        <v>112</v>
      </c>
      <c r="B82" s="1">
        <v>43289</v>
      </c>
      <c r="C82" t="s">
        <v>15</v>
      </c>
      <c r="D82" t="s">
        <v>24</v>
      </c>
      <c r="E82">
        <v>4</v>
      </c>
      <c r="F82">
        <v>40</v>
      </c>
      <c r="G82">
        <v>160</v>
      </c>
      <c r="H82">
        <v>0.1</v>
      </c>
      <c r="I82">
        <v>16</v>
      </c>
      <c r="J82" t="s">
        <v>41</v>
      </c>
    </row>
    <row r="83" spans="1:10" x14ac:dyDescent="0.3">
      <c r="A83" t="s">
        <v>113</v>
      </c>
      <c r="B83" s="1">
        <v>43289</v>
      </c>
      <c r="C83" t="s">
        <v>19</v>
      </c>
      <c r="D83" t="s">
        <v>12</v>
      </c>
      <c r="E83">
        <v>3</v>
      </c>
      <c r="F83">
        <v>230</v>
      </c>
      <c r="G83">
        <v>690</v>
      </c>
      <c r="H83">
        <v>0.11</v>
      </c>
      <c r="I83">
        <v>75.900000000000006</v>
      </c>
      <c r="J83" t="s">
        <v>43</v>
      </c>
    </row>
    <row r="84" spans="1:10" x14ac:dyDescent="0.3">
      <c r="A84" t="s">
        <v>114</v>
      </c>
      <c r="B84" s="1">
        <v>43289</v>
      </c>
      <c r="C84" t="s">
        <v>11</v>
      </c>
      <c r="D84" t="s">
        <v>24</v>
      </c>
      <c r="E84">
        <v>6</v>
      </c>
      <c r="F84">
        <v>80</v>
      </c>
      <c r="G84">
        <v>480</v>
      </c>
      <c r="H84">
        <v>0.09</v>
      </c>
      <c r="I84">
        <v>43.2</v>
      </c>
      <c r="J84" t="s">
        <v>13</v>
      </c>
    </row>
    <row r="85" spans="1:10" x14ac:dyDescent="0.3">
      <c r="A85" t="s">
        <v>115</v>
      </c>
      <c r="B85" s="1">
        <v>43289</v>
      </c>
      <c r="C85" t="s">
        <v>34</v>
      </c>
      <c r="D85" t="s">
        <v>12</v>
      </c>
      <c r="E85">
        <v>9</v>
      </c>
      <c r="F85">
        <v>150</v>
      </c>
      <c r="G85">
        <v>1350</v>
      </c>
      <c r="H85">
        <v>0.1</v>
      </c>
      <c r="I85">
        <v>135</v>
      </c>
      <c r="J85" t="s">
        <v>17</v>
      </c>
    </row>
    <row r="86" spans="1:10" x14ac:dyDescent="0.3">
      <c r="A86" t="s">
        <v>116</v>
      </c>
      <c r="B86" s="1">
        <v>43289</v>
      </c>
      <c r="C86" t="s">
        <v>11</v>
      </c>
      <c r="D86" t="s">
        <v>16</v>
      </c>
      <c r="E86">
        <v>14</v>
      </c>
      <c r="F86">
        <v>80</v>
      </c>
      <c r="G86">
        <v>1120</v>
      </c>
      <c r="H86">
        <v>0.11</v>
      </c>
      <c r="I86">
        <v>123.2</v>
      </c>
      <c r="J86" t="s">
        <v>20</v>
      </c>
    </row>
    <row r="87" spans="1:10" x14ac:dyDescent="0.3">
      <c r="A87" t="s">
        <v>117</v>
      </c>
      <c r="B87" s="1">
        <v>43289</v>
      </c>
      <c r="C87" t="s">
        <v>11</v>
      </c>
      <c r="D87" t="s">
        <v>12</v>
      </c>
      <c r="E87">
        <v>18</v>
      </c>
      <c r="F87">
        <v>80</v>
      </c>
      <c r="G87">
        <v>1440</v>
      </c>
      <c r="H87">
        <v>0.02</v>
      </c>
      <c r="I87">
        <v>28.8</v>
      </c>
      <c r="J87" t="s">
        <v>22</v>
      </c>
    </row>
    <row r="88" spans="1:10" x14ac:dyDescent="0.3">
      <c r="A88" t="s">
        <v>118</v>
      </c>
      <c r="B88" s="1">
        <v>43289</v>
      </c>
      <c r="C88" t="s">
        <v>15</v>
      </c>
      <c r="D88" t="s">
        <v>12</v>
      </c>
      <c r="E88">
        <v>20</v>
      </c>
      <c r="F88">
        <v>40</v>
      </c>
      <c r="G88">
        <v>800</v>
      </c>
      <c r="H88">
        <v>0.04</v>
      </c>
      <c r="I88">
        <v>32</v>
      </c>
      <c r="J88" t="s">
        <v>25</v>
      </c>
    </row>
    <row r="89" spans="1:10" x14ac:dyDescent="0.3">
      <c r="A89" t="s">
        <v>119</v>
      </c>
      <c r="B89" s="1">
        <v>43290</v>
      </c>
      <c r="C89" t="s">
        <v>30</v>
      </c>
      <c r="D89" t="s">
        <v>24</v>
      </c>
      <c r="E89">
        <v>8</v>
      </c>
      <c r="F89">
        <v>16</v>
      </c>
      <c r="G89">
        <v>128</v>
      </c>
      <c r="H89">
        <v>0.03</v>
      </c>
      <c r="I89">
        <v>3.84</v>
      </c>
      <c r="J89" t="s">
        <v>28</v>
      </c>
    </row>
    <row r="90" spans="1:10" x14ac:dyDescent="0.3">
      <c r="A90" t="s">
        <v>120</v>
      </c>
      <c r="B90" s="1">
        <v>43290</v>
      </c>
      <c r="C90" t="s">
        <v>11</v>
      </c>
      <c r="D90" t="s">
        <v>16</v>
      </c>
      <c r="E90">
        <v>14</v>
      </c>
      <c r="F90">
        <v>80</v>
      </c>
      <c r="G90">
        <v>1120</v>
      </c>
      <c r="H90">
        <v>0.06</v>
      </c>
      <c r="I90">
        <v>67.2</v>
      </c>
      <c r="J90" t="s">
        <v>32</v>
      </c>
    </row>
    <row r="91" spans="1:10" x14ac:dyDescent="0.3">
      <c r="A91" t="s">
        <v>121</v>
      </c>
      <c r="B91" s="1">
        <v>43290</v>
      </c>
      <c r="C91" t="s">
        <v>34</v>
      </c>
      <c r="D91" t="s">
        <v>12</v>
      </c>
      <c r="E91">
        <v>20</v>
      </c>
      <c r="F91">
        <v>150</v>
      </c>
      <c r="G91">
        <v>3000</v>
      </c>
      <c r="H91">
        <v>0.01</v>
      </c>
      <c r="I91">
        <v>30</v>
      </c>
      <c r="J91" t="s">
        <v>35</v>
      </c>
    </row>
    <row r="92" spans="1:10" x14ac:dyDescent="0.3">
      <c r="A92" t="s">
        <v>122</v>
      </c>
      <c r="B92" s="1">
        <v>43290</v>
      </c>
      <c r="C92" t="s">
        <v>15</v>
      </c>
      <c r="D92" t="s">
        <v>27</v>
      </c>
      <c r="E92">
        <v>15</v>
      </c>
      <c r="F92">
        <v>40</v>
      </c>
      <c r="G92">
        <v>600</v>
      </c>
      <c r="H92">
        <v>0.03</v>
      </c>
      <c r="I92">
        <v>18</v>
      </c>
      <c r="J92" t="s">
        <v>37</v>
      </c>
    </row>
    <row r="93" spans="1:10" x14ac:dyDescent="0.3">
      <c r="A93" t="s">
        <v>123</v>
      </c>
      <c r="B93" s="1">
        <v>43290</v>
      </c>
      <c r="C93" t="s">
        <v>15</v>
      </c>
      <c r="D93" t="s">
        <v>16</v>
      </c>
      <c r="E93">
        <v>18</v>
      </c>
      <c r="F93">
        <v>40</v>
      </c>
      <c r="G93">
        <v>720</v>
      </c>
      <c r="H93">
        <v>0.08</v>
      </c>
      <c r="I93">
        <v>57.6</v>
      </c>
      <c r="J93" t="s">
        <v>39</v>
      </c>
    </row>
    <row r="94" spans="1:10" x14ac:dyDescent="0.3">
      <c r="A94" t="s">
        <v>124</v>
      </c>
      <c r="B94" s="1">
        <v>43290</v>
      </c>
      <c r="C94" t="s">
        <v>15</v>
      </c>
      <c r="D94" t="s">
        <v>31</v>
      </c>
      <c r="E94">
        <v>11</v>
      </c>
      <c r="F94">
        <v>40</v>
      </c>
      <c r="G94">
        <v>440</v>
      </c>
      <c r="H94">
        <v>0.05</v>
      </c>
      <c r="I94">
        <v>22</v>
      </c>
      <c r="J94" t="s">
        <v>41</v>
      </c>
    </row>
    <row r="95" spans="1:10" x14ac:dyDescent="0.3">
      <c r="A95" t="s">
        <v>125</v>
      </c>
      <c r="B95" s="1">
        <v>43291</v>
      </c>
      <c r="C95" t="s">
        <v>15</v>
      </c>
      <c r="D95" t="s">
        <v>31</v>
      </c>
      <c r="E95">
        <v>23</v>
      </c>
      <c r="F95">
        <v>40</v>
      </c>
      <c r="G95">
        <v>920</v>
      </c>
      <c r="H95">
        <v>0.04</v>
      </c>
      <c r="I95">
        <v>36.799999999999997</v>
      </c>
      <c r="J95" t="s">
        <v>43</v>
      </c>
    </row>
    <row r="96" spans="1:10" x14ac:dyDescent="0.3">
      <c r="A96" t="s">
        <v>126</v>
      </c>
      <c r="B96" s="1">
        <v>43291</v>
      </c>
      <c r="C96" t="s">
        <v>30</v>
      </c>
      <c r="D96" t="s">
        <v>31</v>
      </c>
      <c r="E96">
        <v>17</v>
      </c>
      <c r="F96">
        <v>16</v>
      </c>
      <c r="G96">
        <v>272</v>
      </c>
      <c r="H96">
        <v>0.1</v>
      </c>
      <c r="I96">
        <v>27.2</v>
      </c>
      <c r="J96" t="s">
        <v>13</v>
      </c>
    </row>
    <row r="97" spans="1:10" x14ac:dyDescent="0.3">
      <c r="A97" t="s">
        <v>127</v>
      </c>
      <c r="B97" s="1">
        <v>43291</v>
      </c>
      <c r="C97" t="s">
        <v>30</v>
      </c>
      <c r="D97" t="s">
        <v>16</v>
      </c>
      <c r="E97">
        <v>4</v>
      </c>
      <c r="F97">
        <v>16</v>
      </c>
      <c r="G97">
        <v>64</v>
      </c>
      <c r="H97">
        <v>7.0000000000000007E-2</v>
      </c>
      <c r="I97">
        <v>4.4800000000000004</v>
      </c>
      <c r="J97" t="s">
        <v>17</v>
      </c>
    </row>
    <row r="98" spans="1:10" x14ac:dyDescent="0.3">
      <c r="A98" t="s">
        <v>128</v>
      </c>
      <c r="B98" s="1">
        <v>43291</v>
      </c>
      <c r="C98" t="s">
        <v>11</v>
      </c>
      <c r="D98" t="s">
        <v>24</v>
      </c>
      <c r="E98">
        <v>23</v>
      </c>
      <c r="F98">
        <v>80</v>
      </c>
      <c r="G98">
        <v>1840</v>
      </c>
      <c r="H98">
        <v>0.05</v>
      </c>
      <c r="I98">
        <v>92</v>
      </c>
      <c r="J98" t="s">
        <v>20</v>
      </c>
    </row>
    <row r="99" spans="1:10" x14ac:dyDescent="0.3">
      <c r="A99" t="s">
        <v>129</v>
      </c>
      <c r="B99" s="1">
        <v>43291</v>
      </c>
      <c r="C99" t="s">
        <v>19</v>
      </c>
      <c r="D99" t="s">
        <v>24</v>
      </c>
      <c r="E99">
        <v>10</v>
      </c>
      <c r="F99">
        <v>230</v>
      </c>
      <c r="G99">
        <v>2300</v>
      </c>
      <c r="H99">
        <v>0.02</v>
      </c>
      <c r="I99">
        <v>46</v>
      </c>
      <c r="J99" t="s">
        <v>22</v>
      </c>
    </row>
    <row r="100" spans="1:10" x14ac:dyDescent="0.3">
      <c r="A100" t="s">
        <v>130</v>
      </c>
      <c r="B100" s="1">
        <v>43291</v>
      </c>
      <c r="C100" t="s">
        <v>30</v>
      </c>
      <c r="D100" t="s">
        <v>24</v>
      </c>
      <c r="E100">
        <v>14</v>
      </c>
      <c r="F100">
        <v>16</v>
      </c>
      <c r="G100">
        <v>224</v>
      </c>
      <c r="H100">
        <v>0.01</v>
      </c>
      <c r="I100">
        <v>2.2400000000000002</v>
      </c>
      <c r="J100" t="s">
        <v>25</v>
      </c>
    </row>
    <row r="101" spans="1:10" x14ac:dyDescent="0.3">
      <c r="A101" t="s">
        <v>131</v>
      </c>
      <c r="B101" s="1">
        <v>43291</v>
      </c>
      <c r="C101" t="s">
        <v>15</v>
      </c>
      <c r="D101" t="s">
        <v>16</v>
      </c>
      <c r="E101">
        <v>19</v>
      </c>
      <c r="F101">
        <v>40</v>
      </c>
      <c r="G101">
        <v>760</v>
      </c>
      <c r="H101">
        <v>0.1</v>
      </c>
      <c r="I101">
        <v>76</v>
      </c>
      <c r="J101" t="s">
        <v>28</v>
      </c>
    </row>
    <row r="102" spans="1:10" x14ac:dyDescent="0.3">
      <c r="A102" t="s">
        <v>132</v>
      </c>
      <c r="B102" s="1">
        <v>43291</v>
      </c>
      <c r="C102" t="s">
        <v>11</v>
      </c>
      <c r="D102" t="s">
        <v>31</v>
      </c>
      <c r="E102">
        <v>22</v>
      </c>
      <c r="F102">
        <v>80</v>
      </c>
      <c r="G102">
        <v>1760</v>
      </c>
      <c r="H102">
        <v>0.09</v>
      </c>
      <c r="I102">
        <v>158.4</v>
      </c>
      <c r="J102" t="s">
        <v>32</v>
      </c>
    </row>
    <row r="103" spans="1:10" x14ac:dyDescent="0.3">
      <c r="A103" t="s">
        <v>133</v>
      </c>
      <c r="B103" s="1">
        <v>43291</v>
      </c>
      <c r="C103" t="s">
        <v>30</v>
      </c>
      <c r="D103" t="s">
        <v>12</v>
      </c>
      <c r="E103">
        <v>18</v>
      </c>
      <c r="F103">
        <v>16</v>
      </c>
      <c r="G103">
        <v>288</v>
      </c>
      <c r="H103">
        <v>0.05</v>
      </c>
      <c r="I103">
        <v>14.4</v>
      </c>
      <c r="J103" t="s">
        <v>35</v>
      </c>
    </row>
    <row r="104" spans="1:10" x14ac:dyDescent="0.3">
      <c r="A104" t="s">
        <v>134</v>
      </c>
      <c r="B104" s="1">
        <v>43291</v>
      </c>
      <c r="C104" t="s">
        <v>15</v>
      </c>
      <c r="D104" t="s">
        <v>12</v>
      </c>
      <c r="E104">
        <v>18</v>
      </c>
      <c r="F104">
        <v>40</v>
      </c>
      <c r="G104">
        <v>720</v>
      </c>
      <c r="H104">
        <v>0.11</v>
      </c>
      <c r="I104">
        <v>79.2</v>
      </c>
      <c r="J104" t="s">
        <v>37</v>
      </c>
    </row>
    <row r="105" spans="1:10" x14ac:dyDescent="0.3">
      <c r="A105" t="s">
        <v>135</v>
      </c>
      <c r="B105" s="1">
        <v>43291</v>
      </c>
      <c r="C105" t="s">
        <v>15</v>
      </c>
      <c r="D105" t="s">
        <v>31</v>
      </c>
      <c r="E105">
        <v>21</v>
      </c>
      <c r="F105">
        <v>40</v>
      </c>
      <c r="G105">
        <v>840</v>
      </c>
      <c r="H105">
        <v>0.01</v>
      </c>
      <c r="I105">
        <v>8.4</v>
      </c>
      <c r="J105" t="s">
        <v>39</v>
      </c>
    </row>
    <row r="106" spans="1:10" x14ac:dyDescent="0.3">
      <c r="A106" t="s">
        <v>136</v>
      </c>
      <c r="B106" s="1">
        <v>43291</v>
      </c>
      <c r="C106" t="s">
        <v>11</v>
      </c>
      <c r="D106" t="s">
        <v>12</v>
      </c>
      <c r="E106">
        <v>6</v>
      </c>
      <c r="F106">
        <v>80</v>
      </c>
      <c r="G106">
        <v>480</v>
      </c>
      <c r="H106">
        <v>7.0000000000000007E-2</v>
      </c>
      <c r="I106">
        <v>33.6</v>
      </c>
      <c r="J106" t="s">
        <v>41</v>
      </c>
    </row>
    <row r="107" spans="1:10" x14ac:dyDescent="0.3">
      <c r="A107" t="s">
        <v>137</v>
      </c>
      <c r="B107" s="1">
        <v>43291</v>
      </c>
      <c r="C107" t="s">
        <v>34</v>
      </c>
      <c r="D107" t="s">
        <v>31</v>
      </c>
      <c r="E107">
        <v>17</v>
      </c>
      <c r="F107">
        <v>150</v>
      </c>
      <c r="G107">
        <v>2550</v>
      </c>
      <c r="H107">
        <v>0.02</v>
      </c>
      <c r="I107">
        <v>51</v>
      </c>
      <c r="J107" t="s">
        <v>43</v>
      </c>
    </row>
    <row r="108" spans="1:10" x14ac:dyDescent="0.3">
      <c r="A108" t="s">
        <v>138</v>
      </c>
      <c r="B108" s="1">
        <v>43291</v>
      </c>
      <c r="C108" t="s">
        <v>11</v>
      </c>
      <c r="D108" t="s">
        <v>24</v>
      </c>
      <c r="E108">
        <v>16</v>
      </c>
      <c r="F108">
        <v>80</v>
      </c>
      <c r="G108">
        <v>1280</v>
      </c>
      <c r="H108">
        <v>0.02</v>
      </c>
      <c r="I108">
        <v>25.6</v>
      </c>
      <c r="J108" t="s">
        <v>13</v>
      </c>
    </row>
    <row r="109" spans="1:10" x14ac:dyDescent="0.3">
      <c r="A109" t="s">
        <v>139</v>
      </c>
      <c r="B109" s="1">
        <v>43291</v>
      </c>
      <c r="C109" t="s">
        <v>15</v>
      </c>
      <c r="D109" t="s">
        <v>16</v>
      </c>
      <c r="E109">
        <v>15</v>
      </c>
      <c r="F109">
        <v>40</v>
      </c>
      <c r="G109">
        <v>600</v>
      </c>
      <c r="H109">
        <v>0.04</v>
      </c>
      <c r="I109">
        <v>24</v>
      </c>
      <c r="J109" t="s">
        <v>17</v>
      </c>
    </row>
    <row r="110" spans="1:10" x14ac:dyDescent="0.3">
      <c r="A110" t="s">
        <v>140</v>
      </c>
      <c r="B110" s="1">
        <v>43291</v>
      </c>
      <c r="C110" t="s">
        <v>19</v>
      </c>
      <c r="D110" t="s">
        <v>27</v>
      </c>
      <c r="E110">
        <v>2</v>
      </c>
      <c r="F110">
        <v>230</v>
      </c>
      <c r="G110">
        <v>460</v>
      </c>
      <c r="H110">
        <v>0.08</v>
      </c>
      <c r="I110">
        <v>36.799999999999997</v>
      </c>
      <c r="J110" t="s">
        <v>20</v>
      </c>
    </row>
    <row r="111" spans="1:10" x14ac:dyDescent="0.3">
      <c r="A111" t="s">
        <v>141</v>
      </c>
      <c r="B111" s="1">
        <v>43291</v>
      </c>
      <c r="C111" t="s">
        <v>15</v>
      </c>
      <c r="D111" t="s">
        <v>31</v>
      </c>
      <c r="E111">
        <v>3</v>
      </c>
      <c r="F111">
        <v>40</v>
      </c>
      <c r="G111">
        <v>120</v>
      </c>
      <c r="H111">
        <v>0.03</v>
      </c>
      <c r="I111">
        <v>3.6</v>
      </c>
      <c r="J111" t="s">
        <v>22</v>
      </c>
    </row>
    <row r="112" spans="1:10" x14ac:dyDescent="0.3">
      <c r="A112" t="s">
        <v>142</v>
      </c>
      <c r="B112" s="1">
        <v>43291</v>
      </c>
      <c r="C112" t="s">
        <v>19</v>
      </c>
      <c r="D112" t="s">
        <v>31</v>
      </c>
      <c r="E112">
        <v>21</v>
      </c>
      <c r="F112">
        <v>230</v>
      </c>
      <c r="G112">
        <v>4830</v>
      </c>
      <c r="H112">
        <v>0.05</v>
      </c>
      <c r="I112">
        <v>241.5</v>
      </c>
      <c r="J112" t="s">
        <v>25</v>
      </c>
    </row>
    <row r="113" spans="1:10" x14ac:dyDescent="0.3">
      <c r="A113" t="s">
        <v>143</v>
      </c>
      <c r="B113" s="1">
        <v>43291</v>
      </c>
      <c r="C113" t="s">
        <v>34</v>
      </c>
      <c r="D113" t="s">
        <v>12</v>
      </c>
      <c r="E113">
        <v>11</v>
      </c>
      <c r="F113">
        <v>150</v>
      </c>
      <c r="G113">
        <v>1650</v>
      </c>
      <c r="H113">
        <v>0.05</v>
      </c>
      <c r="I113">
        <v>82.5</v>
      </c>
      <c r="J113" t="s">
        <v>28</v>
      </c>
    </row>
    <row r="114" spans="1:10" x14ac:dyDescent="0.3">
      <c r="A114" t="s">
        <v>144</v>
      </c>
      <c r="B114" s="1">
        <v>43292</v>
      </c>
      <c r="C114" t="s">
        <v>34</v>
      </c>
      <c r="D114" t="s">
        <v>16</v>
      </c>
      <c r="E114">
        <v>15</v>
      </c>
      <c r="F114">
        <v>150</v>
      </c>
      <c r="G114">
        <v>2250</v>
      </c>
      <c r="H114">
        <v>0.02</v>
      </c>
      <c r="I114">
        <v>45</v>
      </c>
      <c r="J114" t="s">
        <v>32</v>
      </c>
    </row>
    <row r="115" spans="1:10" x14ac:dyDescent="0.3">
      <c r="A115" t="s">
        <v>145</v>
      </c>
      <c r="B115" s="1">
        <v>43292</v>
      </c>
      <c r="C115" t="s">
        <v>11</v>
      </c>
      <c r="D115" t="s">
        <v>27</v>
      </c>
      <c r="E115">
        <v>16</v>
      </c>
      <c r="F115">
        <v>80</v>
      </c>
      <c r="G115">
        <v>1280</v>
      </c>
      <c r="H115">
        <v>0.1</v>
      </c>
      <c r="I115">
        <v>128</v>
      </c>
      <c r="J115" t="s">
        <v>35</v>
      </c>
    </row>
    <row r="116" spans="1:10" x14ac:dyDescent="0.3">
      <c r="A116" t="s">
        <v>146</v>
      </c>
      <c r="B116" s="1">
        <v>43292</v>
      </c>
      <c r="C116" t="s">
        <v>19</v>
      </c>
      <c r="D116" t="s">
        <v>31</v>
      </c>
      <c r="E116">
        <v>17</v>
      </c>
      <c r="F116">
        <v>230</v>
      </c>
      <c r="G116">
        <v>3910</v>
      </c>
      <c r="H116">
        <v>0.11</v>
      </c>
      <c r="I116">
        <v>430.1</v>
      </c>
      <c r="J116" t="s">
        <v>37</v>
      </c>
    </row>
    <row r="117" spans="1:10" x14ac:dyDescent="0.3">
      <c r="A117" t="s">
        <v>147</v>
      </c>
      <c r="B117" s="1">
        <v>43292</v>
      </c>
      <c r="C117" t="s">
        <v>15</v>
      </c>
      <c r="D117" t="s">
        <v>31</v>
      </c>
      <c r="E117">
        <v>16</v>
      </c>
      <c r="F117">
        <v>40</v>
      </c>
      <c r="G117">
        <v>640</v>
      </c>
      <c r="H117">
        <v>0.11</v>
      </c>
      <c r="I117">
        <v>70.400000000000006</v>
      </c>
      <c r="J117" t="s">
        <v>39</v>
      </c>
    </row>
    <row r="118" spans="1:10" x14ac:dyDescent="0.3">
      <c r="A118" t="s">
        <v>148</v>
      </c>
      <c r="B118" s="1">
        <v>43292</v>
      </c>
      <c r="C118" t="s">
        <v>11</v>
      </c>
      <c r="D118" t="s">
        <v>27</v>
      </c>
      <c r="E118">
        <v>2</v>
      </c>
      <c r="F118">
        <v>80</v>
      </c>
      <c r="G118">
        <v>160</v>
      </c>
      <c r="H118">
        <v>0.08</v>
      </c>
      <c r="I118">
        <v>12.8</v>
      </c>
      <c r="J118" t="s">
        <v>41</v>
      </c>
    </row>
    <row r="119" spans="1:10" x14ac:dyDescent="0.3">
      <c r="A119" t="s">
        <v>149</v>
      </c>
      <c r="B119" s="1">
        <v>43292</v>
      </c>
      <c r="C119" t="s">
        <v>34</v>
      </c>
      <c r="D119" t="s">
        <v>16</v>
      </c>
      <c r="E119">
        <v>22</v>
      </c>
      <c r="F119">
        <v>150</v>
      </c>
      <c r="G119">
        <v>3300</v>
      </c>
      <c r="H119">
        <v>0.02</v>
      </c>
      <c r="I119">
        <v>66</v>
      </c>
      <c r="J119" t="s">
        <v>43</v>
      </c>
    </row>
    <row r="120" spans="1:10" x14ac:dyDescent="0.3">
      <c r="A120" t="s">
        <v>150</v>
      </c>
      <c r="B120" s="1">
        <v>43292</v>
      </c>
      <c r="C120" t="s">
        <v>11</v>
      </c>
      <c r="D120" t="s">
        <v>12</v>
      </c>
      <c r="E120">
        <v>16</v>
      </c>
      <c r="F120">
        <v>80</v>
      </c>
      <c r="G120">
        <v>1280</v>
      </c>
      <c r="H120">
        <v>0.03</v>
      </c>
      <c r="I120">
        <v>38.4</v>
      </c>
      <c r="J120" t="s">
        <v>13</v>
      </c>
    </row>
    <row r="121" spans="1:10" x14ac:dyDescent="0.3">
      <c r="A121" t="s">
        <v>151</v>
      </c>
      <c r="B121" s="1">
        <v>43293</v>
      </c>
      <c r="C121" t="s">
        <v>30</v>
      </c>
      <c r="D121" t="s">
        <v>12</v>
      </c>
      <c r="E121">
        <v>20</v>
      </c>
      <c r="F121">
        <v>16</v>
      </c>
      <c r="G121">
        <v>320</v>
      </c>
      <c r="H121">
        <v>0.11</v>
      </c>
      <c r="I121">
        <v>35.200000000000003</v>
      </c>
      <c r="J121" t="s">
        <v>17</v>
      </c>
    </row>
    <row r="122" spans="1:10" x14ac:dyDescent="0.3">
      <c r="A122" t="s">
        <v>152</v>
      </c>
      <c r="B122" s="1">
        <v>43293</v>
      </c>
      <c r="C122" t="s">
        <v>11</v>
      </c>
      <c r="D122" t="s">
        <v>31</v>
      </c>
      <c r="E122">
        <v>9</v>
      </c>
      <c r="F122">
        <v>80</v>
      </c>
      <c r="G122">
        <v>720</v>
      </c>
      <c r="H122">
        <v>7.0000000000000007E-2</v>
      </c>
      <c r="I122">
        <v>50.4</v>
      </c>
      <c r="J122" t="s">
        <v>20</v>
      </c>
    </row>
    <row r="123" spans="1:10" x14ac:dyDescent="0.3">
      <c r="A123" t="s">
        <v>153</v>
      </c>
      <c r="B123" s="1">
        <v>43293</v>
      </c>
      <c r="C123" t="s">
        <v>19</v>
      </c>
      <c r="D123" t="s">
        <v>31</v>
      </c>
      <c r="E123">
        <v>5</v>
      </c>
      <c r="F123">
        <v>230</v>
      </c>
      <c r="G123">
        <v>1150</v>
      </c>
      <c r="H123">
        <v>0.12</v>
      </c>
      <c r="I123">
        <v>138</v>
      </c>
      <c r="J123" t="s">
        <v>22</v>
      </c>
    </row>
    <row r="124" spans="1:10" x14ac:dyDescent="0.3">
      <c r="A124" t="s">
        <v>154</v>
      </c>
      <c r="B124" s="1">
        <v>43293</v>
      </c>
      <c r="C124" t="s">
        <v>30</v>
      </c>
      <c r="D124" t="s">
        <v>12</v>
      </c>
      <c r="E124">
        <v>20</v>
      </c>
      <c r="F124">
        <v>16</v>
      </c>
      <c r="G124">
        <v>320</v>
      </c>
      <c r="H124">
        <v>0.01</v>
      </c>
      <c r="I124">
        <v>3.2</v>
      </c>
      <c r="J124" t="s">
        <v>25</v>
      </c>
    </row>
    <row r="125" spans="1:10" x14ac:dyDescent="0.3">
      <c r="A125" t="s">
        <v>155</v>
      </c>
      <c r="B125" s="1">
        <v>43293</v>
      </c>
      <c r="C125" t="s">
        <v>30</v>
      </c>
      <c r="D125" t="s">
        <v>12</v>
      </c>
      <c r="E125">
        <v>16</v>
      </c>
      <c r="F125">
        <v>16</v>
      </c>
      <c r="G125">
        <v>256</v>
      </c>
      <c r="H125">
        <v>0.03</v>
      </c>
      <c r="I125">
        <v>7.68</v>
      </c>
      <c r="J125" t="s">
        <v>28</v>
      </c>
    </row>
    <row r="126" spans="1:10" x14ac:dyDescent="0.3">
      <c r="A126" t="s">
        <v>156</v>
      </c>
      <c r="B126" s="1">
        <v>43293</v>
      </c>
      <c r="C126" t="s">
        <v>34</v>
      </c>
      <c r="D126" t="s">
        <v>27</v>
      </c>
      <c r="E126">
        <v>15</v>
      </c>
      <c r="F126">
        <v>150</v>
      </c>
      <c r="G126">
        <v>2250</v>
      </c>
      <c r="H126">
        <v>0.05</v>
      </c>
      <c r="I126">
        <v>112.5</v>
      </c>
      <c r="J126" t="s">
        <v>32</v>
      </c>
    </row>
    <row r="127" spans="1:10" x14ac:dyDescent="0.3">
      <c r="A127" t="s">
        <v>157</v>
      </c>
      <c r="B127" s="1">
        <v>43293</v>
      </c>
      <c r="C127" t="s">
        <v>19</v>
      </c>
      <c r="D127" t="s">
        <v>16</v>
      </c>
      <c r="E127">
        <v>19</v>
      </c>
      <c r="F127">
        <v>230</v>
      </c>
      <c r="G127">
        <v>4370</v>
      </c>
      <c r="H127">
        <v>0.11</v>
      </c>
      <c r="I127">
        <v>480.7</v>
      </c>
      <c r="J127" t="s">
        <v>35</v>
      </c>
    </row>
    <row r="128" spans="1:10" x14ac:dyDescent="0.3">
      <c r="A128" t="s">
        <v>158</v>
      </c>
      <c r="B128" s="1">
        <v>43294</v>
      </c>
      <c r="C128" t="s">
        <v>34</v>
      </c>
      <c r="D128" t="s">
        <v>24</v>
      </c>
      <c r="E128">
        <v>2</v>
      </c>
      <c r="F128">
        <v>150</v>
      </c>
      <c r="G128">
        <v>300</v>
      </c>
      <c r="H128">
        <v>0.02</v>
      </c>
      <c r="I128">
        <v>6</v>
      </c>
      <c r="J128" t="s">
        <v>37</v>
      </c>
    </row>
    <row r="129" spans="1:10" x14ac:dyDescent="0.3">
      <c r="A129" t="s">
        <v>159</v>
      </c>
      <c r="B129" s="1">
        <v>43294</v>
      </c>
      <c r="C129" t="s">
        <v>11</v>
      </c>
      <c r="D129" t="s">
        <v>31</v>
      </c>
      <c r="E129">
        <v>16</v>
      </c>
      <c r="F129">
        <v>80</v>
      </c>
      <c r="G129">
        <v>1280</v>
      </c>
      <c r="H129">
        <v>0.05</v>
      </c>
      <c r="I129">
        <v>64</v>
      </c>
      <c r="J129" t="s">
        <v>39</v>
      </c>
    </row>
    <row r="130" spans="1:10" x14ac:dyDescent="0.3">
      <c r="A130" t="s">
        <v>160</v>
      </c>
      <c r="B130" s="1">
        <v>43294</v>
      </c>
      <c r="C130" t="s">
        <v>15</v>
      </c>
      <c r="D130" t="s">
        <v>24</v>
      </c>
      <c r="E130">
        <v>2</v>
      </c>
      <c r="F130">
        <v>40</v>
      </c>
      <c r="G130">
        <v>80</v>
      </c>
      <c r="H130">
        <v>0.03</v>
      </c>
      <c r="I130">
        <v>2.4</v>
      </c>
      <c r="J130" t="s">
        <v>41</v>
      </c>
    </row>
    <row r="131" spans="1:10" x14ac:dyDescent="0.3">
      <c r="A131" t="s">
        <v>161</v>
      </c>
      <c r="B131" s="1">
        <v>43294</v>
      </c>
      <c r="C131" t="s">
        <v>11</v>
      </c>
      <c r="D131" t="s">
        <v>16</v>
      </c>
      <c r="E131">
        <v>5</v>
      </c>
      <c r="F131">
        <v>80</v>
      </c>
      <c r="G131">
        <v>400</v>
      </c>
      <c r="H131">
        <v>0.04</v>
      </c>
      <c r="I131">
        <v>16</v>
      </c>
      <c r="J131" t="s">
        <v>43</v>
      </c>
    </row>
    <row r="132" spans="1:10" x14ac:dyDescent="0.3">
      <c r="A132" t="s">
        <v>162</v>
      </c>
      <c r="B132" s="1">
        <v>43294</v>
      </c>
      <c r="C132" t="s">
        <v>19</v>
      </c>
      <c r="D132" t="s">
        <v>27</v>
      </c>
      <c r="E132">
        <v>17</v>
      </c>
      <c r="F132">
        <v>230</v>
      </c>
      <c r="G132">
        <v>3910</v>
      </c>
      <c r="H132">
        <v>0.12</v>
      </c>
      <c r="I132">
        <v>469.2</v>
      </c>
      <c r="J132" t="s">
        <v>13</v>
      </c>
    </row>
    <row r="133" spans="1:10" x14ac:dyDescent="0.3">
      <c r="A133" t="s">
        <v>163</v>
      </c>
      <c r="B133" s="1">
        <v>43294</v>
      </c>
      <c r="C133" t="s">
        <v>11</v>
      </c>
      <c r="D133" t="s">
        <v>12</v>
      </c>
      <c r="E133">
        <v>8</v>
      </c>
      <c r="F133">
        <v>80</v>
      </c>
      <c r="G133">
        <v>640</v>
      </c>
      <c r="H133">
        <v>0.08</v>
      </c>
      <c r="I133">
        <v>51.2</v>
      </c>
      <c r="J133" t="s">
        <v>17</v>
      </c>
    </row>
    <row r="134" spans="1:10" x14ac:dyDescent="0.3">
      <c r="A134" t="s">
        <v>164</v>
      </c>
      <c r="B134" s="1">
        <v>43294</v>
      </c>
      <c r="C134" t="s">
        <v>15</v>
      </c>
      <c r="D134" t="s">
        <v>16</v>
      </c>
      <c r="E134">
        <v>4</v>
      </c>
      <c r="F134">
        <v>40</v>
      </c>
      <c r="G134">
        <v>160</v>
      </c>
      <c r="H134">
        <v>0.06</v>
      </c>
      <c r="I134">
        <v>9.6</v>
      </c>
      <c r="J134" t="s">
        <v>20</v>
      </c>
    </row>
    <row r="135" spans="1:10" x14ac:dyDescent="0.3">
      <c r="A135" t="s">
        <v>165</v>
      </c>
      <c r="B135" s="1">
        <v>43294</v>
      </c>
      <c r="C135" t="s">
        <v>30</v>
      </c>
      <c r="D135" t="s">
        <v>24</v>
      </c>
      <c r="E135">
        <v>17</v>
      </c>
      <c r="F135">
        <v>16</v>
      </c>
      <c r="G135">
        <v>272</v>
      </c>
      <c r="H135">
        <v>0.05</v>
      </c>
      <c r="I135">
        <v>13.6</v>
      </c>
      <c r="J135" t="s">
        <v>22</v>
      </c>
    </row>
    <row r="136" spans="1:10" x14ac:dyDescent="0.3">
      <c r="A136" t="s">
        <v>166</v>
      </c>
      <c r="B136" s="1">
        <v>43294</v>
      </c>
      <c r="C136" t="s">
        <v>19</v>
      </c>
      <c r="D136" t="s">
        <v>27</v>
      </c>
      <c r="E136">
        <v>8</v>
      </c>
      <c r="F136">
        <v>230</v>
      </c>
      <c r="G136">
        <v>1840</v>
      </c>
      <c r="H136">
        <v>0.01</v>
      </c>
      <c r="I136">
        <v>18.399999999999999</v>
      </c>
      <c r="J136" t="s">
        <v>25</v>
      </c>
    </row>
    <row r="137" spans="1:10" x14ac:dyDescent="0.3">
      <c r="A137" t="s">
        <v>167</v>
      </c>
      <c r="B137" s="1">
        <v>43294</v>
      </c>
      <c r="C137" t="s">
        <v>30</v>
      </c>
      <c r="D137" t="s">
        <v>31</v>
      </c>
      <c r="E137">
        <v>19</v>
      </c>
      <c r="F137">
        <v>16</v>
      </c>
      <c r="G137">
        <v>304</v>
      </c>
      <c r="H137">
        <v>0.02</v>
      </c>
      <c r="I137">
        <v>6.08</v>
      </c>
      <c r="J137" t="s">
        <v>28</v>
      </c>
    </row>
    <row r="138" spans="1:10" x14ac:dyDescent="0.3">
      <c r="A138" t="s">
        <v>168</v>
      </c>
      <c r="B138" s="1">
        <v>43295</v>
      </c>
      <c r="C138" t="s">
        <v>15</v>
      </c>
      <c r="D138" t="s">
        <v>12</v>
      </c>
      <c r="E138">
        <v>18</v>
      </c>
      <c r="F138">
        <v>40</v>
      </c>
      <c r="G138">
        <v>720</v>
      </c>
      <c r="H138">
        <v>0.06</v>
      </c>
      <c r="I138">
        <v>43.2</v>
      </c>
      <c r="J138" t="s">
        <v>32</v>
      </c>
    </row>
    <row r="139" spans="1:10" x14ac:dyDescent="0.3">
      <c r="A139" t="s">
        <v>169</v>
      </c>
      <c r="B139" s="1">
        <v>43295</v>
      </c>
      <c r="C139" t="s">
        <v>34</v>
      </c>
      <c r="D139" t="s">
        <v>31</v>
      </c>
      <c r="E139">
        <v>23</v>
      </c>
      <c r="F139">
        <v>150</v>
      </c>
      <c r="G139">
        <v>3450</v>
      </c>
      <c r="H139">
        <v>0.08</v>
      </c>
      <c r="I139">
        <v>276</v>
      </c>
      <c r="J139" t="s">
        <v>35</v>
      </c>
    </row>
    <row r="140" spans="1:10" x14ac:dyDescent="0.3">
      <c r="A140" t="s">
        <v>170</v>
      </c>
      <c r="B140" s="1">
        <v>43295</v>
      </c>
      <c r="C140" t="s">
        <v>19</v>
      </c>
      <c r="D140" t="s">
        <v>12</v>
      </c>
      <c r="E140">
        <v>5</v>
      </c>
      <c r="F140">
        <v>230</v>
      </c>
      <c r="G140">
        <v>1150</v>
      </c>
      <c r="H140">
        <v>0.1</v>
      </c>
      <c r="I140">
        <v>115</v>
      </c>
      <c r="J140" t="s">
        <v>37</v>
      </c>
    </row>
    <row r="141" spans="1:10" x14ac:dyDescent="0.3">
      <c r="A141" t="s">
        <v>171</v>
      </c>
      <c r="B141" s="1">
        <v>43295</v>
      </c>
      <c r="C141" t="s">
        <v>11</v>
      </c>
      <c r="D141" t="s">
        <v>27</v>
      </c>
      <c r="E141">
        <v>21</v>
      </c>
      <c r="F141">
        <v>80</v>
      </c>
      <c r="G141">
        <v>1680</v>
      </c>
      <c r="H141">
        <v>0.02</v>
      </c>
      <c r="I141">
        <v>33.6</v>
      </c>
      <c r="J141" t="s">
        <v>39</v>
      </c>
    </row>
    <row r="142" spans="1:10" x14ac:dyDescent="0.3">
      <c r="A142" t="s">
        <v>172</v>
      </c>
      <c r="B142" s="1">
        <v>43295</v>
      </c>
      <c r="C142" t="s">
        <v>30</v>
      </c>
      <c r="D142" t="s">
        <v>24</v>
      </c>
      <c r="E142">
        <v>6</v>
      </c>
      <c r="F142">
        <v>16</v>
      </c>
      <c r="G142">
        <v>96</v>
      </c>
      <c r="H142">
        <v>7.0000000000000007E-2</v>
      </c>
      <c r="I142">
        <v>6.72</v>
      </c>
      <c r="J142" t="s">
        <v>13</v>
      </c>
    </row>
    <row r="143" spans="1:10" x14ac:dyDescent="0.3">
      <c r="A143" t="s">
        <v>173</v>
      </c>
      <c r="B143" s="1">
        <v>43295</v>
      </c>
      <c r="C143" t="s">
        <v>15</v>
      </c>
      <c r="D143" t="s">
        <v>12</v>
      </c>
      <c r="E143">
        <v>9</v>
      </c>
      <c r="F143">
        <v>40</v>
      </c>
      <c r="G143">
        <v>360</v>
      </c>
      <c r="H143">
        <v>0.01</v>
      </c>
      <c r="I143">
        <v>3.6</v>
      </c>
      <c r="J143" t="s">
        <v>17</v>
      </c>
    </row>
    <row r="144" spans="1:10" x14ac:dyDescent="0.3">
      <c r="A144" t="s">
        <v>174</v>
      </c>
      <c r="B144" s="1">
        <v>43295</v>
      </c>
      <c r="C144" t="s">
        <v>19</v>
      </c>
      <c r="D144" t="s">
        <v>16</v>
      </c>
      <c r="E144">
        <v>9</v>
      </c>
      <c r="F144">
        <v>230</v>
      </c>
      <c r="G144">
        <v>2070</v>
      </c>
      <c r="H144">
        <v>0.03</v>
      </c>
      <c r="I144">
        <v>62.1</v>
      </c>
      <c r="J144" t="s">
        <v>20</v>
      </c>
    </row>
    <row r="145" spans="1:10" x14ac:dyDescent="0.3">
      <c r="A145" t="s">
        <v>175</v>
      </c>
      <c r="B145" s="1">
        <v>43295</v>
      </c>
      <c r="C145" t="s">
        <v>19</v>
      </c>
      <c r="D145" t="s">
        <v>24</v>
      </c>
      <c r="E145">
        <v>5</v>
      </c>
      <c r="F145">
        <v>230</v>
      </c>
      <c r="G145">
        <v>1150</v>
      </c>
      <c r="H145">
        <v>0.1</v>
      </c>
      <c r="I145">
        <v>115</v>
      </c>
      <c r="J145" t="s">
        <v>22</v>
      </c>
    </row>
    <row r="146" spans="1:10" x14ac:dyDescent="0.3">
      <c r="A146" t="s">
        <v>176</v>
      </c>
      <c r="B146" s="1">
        <v>43295</v>
      </c>
      <c r="C146" t="s">
        <v>15</v>
      </c>
      <c r="D146" t="s">
        <v>27</v>
      </c>
      <c r="E146">
        <v>7</v>
      </c>
      <c r="F146">
        <v>40</v>
      </c>
      <c r="G146">
        <v>280</v>
      </c>
      <c r="H146">
        <v>0.11</v>
      </c>
      <c r="I146">
        <v>30.8</v>
      </c>
      <c r="J146" t="s">
        <v>25</v>
      </c>
    </row>
    <row r="147" spans="1:10" x14ac:dyDescent="0.3">
      <c r="A147" t="s">
        <v>177</v>
      </c>
      <c r="B147" s="1">
        <v>43295</v>
      </c>
      <c r="C147" t="s">
        <v>19</v>
      </c>
      <c r="D147" t="s">
        <v>12</v>
      </c>
      <c r="E147">
        <v>20</v>
      </c>
      <c r="F147">
        <v>230</v>
      </c>
      <c r="G147">
        <v>4600</v>
      </c>
      <c r="H147">
        <v>0.04</v>
      </c>
      <c r="I147">
        <v>184</v>
      </c>
      <c r="J147" t="s">
        <v>28</v>
      </c>
    </row>
    <row r="148" spans="1:10" x14ac:dyDescent="0.3">
      <c r="A148" t="s">
        <v>178</v>
      </c>
      <c r="B148" s="1">
        <v>43295</v>
      </c>
      <c r="C148" t="s">
        <v>34</v>
      </c>
      <c r="D148" t="s">
        <v>12</v>
      </c>
      <c r="E148">
        <v>22</v>
      </c>
      <c r="F148">
        <v>150</v>
      </c>
      <c r="G148">
        <v>3300</v>
      </c>
      <c r="H148">
        <v>7.0000000000000007E-2</v>
      </c>
      <c r="I148">
        <v>231</v>
      </c>
      <c r="J148" t="s">
        <v>32</v>
      </c>
    </row>
    <row r="149" spans="1:10" x14ac:dyDescent="0.3">
      <c r="A149" t="s">
        <v>179</v>
      </c>
      <c r="B149" s="1">
        <v>43296</v>
      </c>
      <c r="C149" t="s">
        <v>19</v>
      </c>
      <c r="D149" t="s">
        <v>24</v>
      </c>
      <c r="E149">
        <v>6</v>
      </c>
      <c r="F149">
        <v>230</v>
      </c>
      <c r="G149">
        <v>1380</v>
      </c>
      <c r="H149">
        <v>0.05</v>
      </c>
      <c r="I149">
        <v>69</v>
      </c>
      <c r="J149" t="s">
        <v>35</v>
      </c>
    </row>
    <row r="150" spans="1:10" x14ac:dyDescent="0.3">
      <c r="A150" t="s">
        <v>180</v>
      </c>
      <c r="B150" s="1">
        <v>43296</v>
      </c>
      <c r="C150" t="s">
        <v>19</v>
      </c>
      <c r="D150" t="s">
        <v>24</v>
      </c>
      <c r="E150">
        <v>15</v>
      </c>
      <c r="F150">
        <v>230</v>
      </c>
      <c r="G150">
        <v>3450</v>
      </c>
      <c r="H150">
        <v>0.11</v>
      </c>
      <c r="I150">
        <v>379.5</v>
      </c>
      <c r="J150" t="s">
        <v>37</v>
      </c>
    </row>
    <row r="151" spans="1:10" x14ac:dyDescent="0.3">
      <c r="A151" t="s">
        <v>181</v>
      </c>
      <c r="B151" s="1">
        <v>43296</v>
      </c>
      <c r="C151" t="s">
        <v>15</v>
      </c>
      <c r="D151" t="s">
        <v>16</v>
      </c>
      <c r="E151">
        <v>8</v>
      </c>
      <c r="F151">
        <v>40</v>
      </c>
      <c r="G151">
        <v>320</v>
      </c>
      <c r="H151">
        <v>0.09</v>
      </c>
      <c r="I151">
        <v>28.8</v>
      </c>
      <c r="J151" t="s">
        <v>39</v>
      </c>
    </row>
    <row r="152" spans="1:10" x14ac:dyDescent="0.3">
      <c r="A152" t="s">
        <v>182</v>
      </c>
      <c r="B152" s="1">
        <v>43296</v>
      </c>
      <c r="C152" t="s">
        <v>15</v>
      </c>
      <c r="D152" t="s">
        <v>12</v>
      </c>
      <c r="E152">
        <v>5</v>
      </c>
      <c r="F152">
        <v>40</v>
      </c>
      <c r="G152">
        <v>200</v>
      </c>
      <c r="H152">
        <v>0.06</v>
      </c>
      <c r="I152">
        <v>12</v>
      </c>
      <c r="J152" t="s">
        <v>41</v>
      </c>
    </row>
    <row r="153" spans="1:10" x14ac:dyDescent="0.3">
      <c r="A153" t="s">
        <v>183</v>
      </c>
      <c r="B153" s="1">
        <v>43296</v>
      </c>
      <c r="C153" t="s">
        <v>11</v>
      </c>
      <c r="D153" t="s">
        <v>31</v>
      </c>
      <c r="E153">
        <v>6</v>
      </c>
      <c r="F153">
        <v>80</v>
      </c>
      <c r="G153">
        <v>480</v>
      </c>
      <c r="H153">
        <v>0.09</v>
      </c>
      <c r="I153">
        <v>43.2</v>
      </c>
      <c r="J153" t="s">
        <v>43</v>
      </c>
    </row>
    <row r="154" spans="1:10" x14ac:dyDescent="0.3">
      <c r="A154" t="s">
        <v>184</v>
      </c>
      <c r="B154" s="1">
        <v>43296</v>
      </c>
      <c r="C154" t="s">
        <v>15</v>
      </c>
      <c r="D154" t="s">
        <v>27</v>
      </c>
      <c r="E154">
        <v>22</v>
      </c>
      <c r="F154">
        <v>40</v>
      </c>
      <c r="G154">
        <v>880</v>
      </c>
      <c r="H154">
        <v>0.01</v>
      </c>
      <c r="I154">
        <v>8.8000000000000007</v>
      </c>
      <c r="J154" t="s">
        <v>13</v>
      </c>
    </row>
    <row r="155" spans="1:10" x14ac:dyDescent="0.3">
      <c r="A155" t="s">
        <v>185</v>
      </c>
      <c r="B155" s="1">
        <v>43296</v>
      </c>
      <c r="C155" t="s">
        <v>30</v>
      </c>
      <c r="D155" t="s">
        <v>12</v>
      </c>
      <c r="E155">
        <v>7</v>
      </c>
      <c r="F155">
        <v>16</v>
      </c>
      <c r="G155">
        <v>112</v>
      </c>
      <c r="H155">
        <v>0.08</v>
      </c>
      <c r="I155">
        <v>8.9600000000000009</v>
      </c>
      <c r="J155" t="s">
        <v>17</v>
      </c>
    </row>
    <row r="156" spans="1:10" x14ac:dyDescent="0.3">
      <c r="A156" t="s">
        <v>186</v>
      </c>
      <c r="B156" s="1">
        <v>43296</v>
      </c>
      <c r="C156" t="s">
        <v>34</v>
      </c>
      <c r="D156" t="s">
        <v>24</v>
      </c>
      <c r="E156">
        <v>22</v>
      </c>
      <c r="F156">
        <v>150</v>
      </c>
      <c r="G156">
        <v>3300</v>
      </c>
      <c r="H156">
        <v>0.04</v>
      </c>
      <c r="I156">
        <v>132</v>
      </c>
      <c r="J156" t="s">
        <v>20</v>
      </c>
    </row>
    <row r="157" spans="1:10" x14ac:dyDescent="0.3">
      <c r="A157" t="s">
        <v>187</v>
      </c>
      <c r="B157" s="1">
        <v>43296</v>
      </c>
      <c r="C157" t="s">
        <v>30</v>
      </c>
      <c r="D157" t="s">
        <v>27</v>
      </c>
      <c r="E157">
        <v>15</v>
      </c>
      <c r="F157">
        <v>16</v>
      </c>
      <c r="G157">
        <v>240</v>
      </c>
      <c r="H157">
        <v>0.12</v>
      </c>
      <c r="I157">
        <v>28.8</v>
      </c>
      <c r="J157" t="s">
        <v>22</v>
      </c>
    </row>
    <row r="158" spans="1:10" x14ac:dyDescent="0.3">
      <c r="A158" t="s">
        <v>188</v>
      </c>
      <c r="B158" s="1">
        <v>43296</v>
      </c>
      <c r="C158" t="s">
        <v>11</v>
      </c>
      <c r="D158" t="s">
        <v>24</v>
      </c>
      <c r="E158">
        <v>20</v>
      </c>
      <c r="F158">
        <v>80</v>
      </c>
      <c r="G158">
        <v>1600</v>
      </c>
      <c r="H158">
        <v>7.0000000000000007E-2</v>
      </c>
      <c r="I158">
        <v>112</v>
      </c>
      <c r="J158" t="s">
        <v>25</v>
      </c>
    </row>
    <row r="159" spans="1:10" x14ac:dyDescent="0.3">
      <c r="A159" t="s">
        <v>189</v>
      </c>
      <c r="B159" s="1">
        <v>43296</v>
      </c>
      <c r="C159" t="s">
        <v>11</v>
      </c>
      <c r="D159" t="s">
        <v>24</v>
      </c>
      <c r="E159">
        <v>7</v>
      </c>
      <c r="F159">
        <v>80</v>
      </c>
      <c r="G159">
        <v>560</v>
      </c>
      <c r="H159">
        <v>0.05</v>
      </c>
      <c r="I159">
        <v>28</v>
      </c>
      <c r="J159" t="s">
        <v>28</v>
      </c>
    </row>
    <row r="160" spans="1:10" x14ac:dyDescent="0.3">
      <c r="A160" t="s">
        <v>190</v>
      </c>
      <c r="B160" s="1">
        <v>43296</v>
      </c>
      <c r="C160" t="s">
        <v>11</v>
      </c>
      <c r="D160" t="s">
        <v>16</v>
      </c>
      <c r="E160">
        <v>10</v>
      </c>
      <c r="F160">
        <v>80</v>
      </c>
      <c r="G160">
        <v>800</v>
      </c>
      <c r="H160">
        <v>0.11</v>
      </c>
      <c r="I160">
        <v>88</v>
      </c>
      <c r="J160" t="s">
        <v>32</v>
      </c>
    </row>
    <row r="161" spans="1:10" x14ac:dyDescent="0.3">
      <c r="A161" t="s">
        <v>191</v>
      </c>
      <c r="B161" s="1">
        <v>43296</v>
      </c>
      <c r="C161" t="s">
        <v>11</v>
      </c>
      <c r="D161" t="s">
        <v>16</v>
      </c>
      <c r="E161">
        <v>2</v>
      </c>
      <c r="F161">
        <v>80</v>
      </c>
      <c r="G161">
        <v>160</v>
      </c>
      <c r="H161">
        <v>7.0000000000000007E-2</v>
      </c>
      <c r="I161">
        <v>11.2</v>
      </c>
      <c r="J161" t="s">
        <v>35</v>
      </c>
    </row>
    <row r="162" spans="1:10" x14ac:dyDescent="0.3">
      <c r="A162" t="s">
        <v>192</v>
      </c>
      <c r="B162" s="1">
        <v>43296</v>
      </c>
      <c r="C162" t="s">
        <v>30</v>
      </c>
      <c r="D162" t="s">
        <v>31</v>
      </c>
      <c r="E162">
        <v>23</v>
      </c>
      <c r="F162">
        <v>16</v>
      </c>
      <c r="G162">
        <v>368</v>
      </c>
      <c r="H162">
        <v>0.01</v>
      </c>
      <c r="I162">
        <v>3.68</v>
      </c>
      <c r="J162" t="s">
        <v>37</v>
      </c>
    </row>
    <row r="163" spans="1:10" x14ac:dyDescent="0.3">
      <c r="A163" t="s">
        <v>193</v>
      </c>
      <c r="B163" s="1">
        <v>43296</v>
      </c>
      <c r="C163" t="s">
        <v>19</v>
      </c>
      <c r="D163" t="s">
        <v>16</v>
      </c>
      <c r="E163">
        <v>12</v>
      </c>
      <c r="F163">
        <v>230</v>
      </c>
      <c r="G163">
        <v>2760</v>
      </c>
      <c r="H163">
        <v>0.03</v>
      </c>
      <c r="I163">
        <v>82.8</v>
      </c>
      <c r="J163" t="s">
        <v>39</v>
      </c>
    </row>
    <row r="164" spans="1:10" x14ac:dyDescent="0.3">
      <c r="A164" t="s">
        <v>194</v>
      </c>
      <c r="B164" s="1">
        <v>43297</v>
      </c>
      <c r="C164" t="s">
        <v>19</v>
      </c>
      <c r="D164" t="s">
        <v>12</v>
      </c>
      <c r="E164">
        <v>7</v>
      </c>
      <c r="F164">
        <v>230</v>
      </c>
      <c r="G164">
        <v>1610</v>
      </c>
      <c r="H164">
        <v>0.08</v>
      </c>
      <c r="I164">
        <v>128.80000000000001</v>
      </c>
      <c r="J164" t="s">
        <v>41</v>
      </c>
    </row>
    <row r="165" spans="1:10" x14ac:dyDescent="0.3">
      <c r="A165" t="s">
        <v>195</v>
      </c>
      <c r="B165" s="1">
        <v>43297</v>
      </c>
      <c r="C165" t="s">
        <v>15</v>
      </c>
      <c r="D165" t="s">
        <v>27</v>
      </c>
      <c r="E165">
        <v>11</v>
      </c>
      <c r="F165">
        <v>40</v>
      </c>
      <c r="G165">
        <v>440</v>
      </c>
      <c r="H165">
        <v>0.06</v>
      </c>
      <c r="I165">
        <v>26.4</v>
      </c>
      <c r="J165" t="s">
        <v>43</v>
      </c>
    </row>
    <row r="166" spans="1:10" x14ac:dyDescent="0.3">
      <c r="A166" t="s">
        <v>196</v>
      </c>
      <c r="B166" s="1">
        <v>43297</v>
      </c>
      <c r="C166" t="s">
        <v>19</v>
      </c>
      <c r="D166" t="s">
        <v>16</v>
      </c>
      <c r="E166">
        <v>7</v>
      </c>
      <c r="F166">
        <v>230</v>
      </c>
      <c r="G166">
        <v>1610</v>
      </c>
      <c r="H166">
        <v>0.08</v>
      </c>
      <c r="I166">
        <v>128.80000000000001</v>
      </c>
      <c r="J166" t="s">
        <v>13</v>
      </c>
    </row>
    <row r="167" spans="1:10" x14ac:dyDescent="0.3">
      <c r="A167" t="s">
        <v>197</v>
      </c>
      <c r="B167" s="1">
        <v>43297</v>
      </c>
      <c r="C167" t="s">
        <v>11</v>
      </c>
      <c r="D167" t="s">
        <v>12</v>
      </c>
      <c r="E167">
        <v>8</v>
      </c>
      <c r="F167">
        <v>80</v>
      </c>
      <c r="G167">
        <v>640</v>
      </c>
      <c r="H167">
        <v>0.09</v>
      </c>
      <c r="I167">
        <v>57.6</v>
      </c>
      <c r="J167" t="s">
        <v>17</v>
      </c>
    </row>
    <row r="168" spans="1:10" x14ac:dyDescent="0.3">
      <c r="A168" t="s">
        <v>198</v>
      </c>
      <c r="B168" s="1">
        <v>43297</v>
      </c>
      <c r="C168" t="s">
        <v>11</v>
      </c>
      <c r="D168" t="s">
        <v>27</v>
      </c>
      <c r="E168">
        <v>16</v>
      </c>
      <c r="F168">
        <v>80</v>
      </c>
      <c r="G168">
        <v>1280</v>
      </c>
      <c r="H168">
        <v>7.0000000000000007E-2</v>
      </c>
      <c r="I168">
        <v>89.6</v>
      </c>
      <c r="J168" t="s">
        <v>20</v>
      </c>
    </row>
    <row r="169" spans="1:10" x14ac:dyDescent="0.3">
      <c r="A169" t="s">
        <v>199</v>
      </c>
      <c r="B169" s="1">
        <v>43297</v>
      </c>
      <c r="C169" t="s">
        <v>11</v>
      </c>
      <c r="D169" t="s">
        <v>24</v>
      </c>
      <c r="E169">
        <v>16</v>
      </c>
      <c r="F169">
        <v>80</v>
      </c>
      <c r="G169">
        <v>1280</v>
      </c>
      <c r="H169">
        <v>0.04</v>
      </c>
      <c r="I169">
        <v>51.2</v>
      </c>
      <c r="J169" t="s">
        <v>22</v>
      </c>
    </row>
    <row r="170" spans="1:10" x14ac:dyDescent="0.3">
      <c r="A170" t="s">
        <v>200</v>
      </c>
      <c r="B170" s="1">
        <v>43297</v>
      </c>
      <c r="C170" t="s">
        <v>30</v>
      </c>
      <c r="D170" t="s">
        <v>24</v>
      </c>
      <c r="E170">
        <v>9</v>
      </c>
      <c r="F170">
        <v>16</v>
      </c>
      <c r="G170">
        <v>144</v>
      </c>
      <c r="H170">
        <v>0.05</v>
      </c>
      <c r="I170">
        <v>7.2</v>
      </c>
      <c r="J170" t="s">
        <v>25</v>
      </c>
    </row>
    <row r="171" spans="1:10" x14ac:dyDescent="0.3">
      <c r="A171" t="s">
        <v>201</v>
      </c>
      <c r="B171" s="1">
        <v>43297</v>
      </c>
      <c r="C171" t="s">
        <v>34</v>
      </c>
      <c r="D171" t="s">
        <v>31</v>
      </c>
      <c r="E171">
        <v>11</v>
      </c>
      <c r="F171">
        <v>150</v>
      </c>
      <c r="G171">
        <v>1650</v>
      </c>
      <c r="H171">
        <v>0.09</v>
      </c>
      <c r="I171">
        <v>148.5</v>
      </c>
      <c r="J171" t="s">
        <v>28</v>
      </c>
    </row>
    <row r="172" spans="1:10" x14ac:dyDescent="0.3">
      <c r="A172" t="s">
        <v>202</v>
      </c>
      <c r="B172" s="1">
        <v>43297</v>
      </c>
      <c r="C172" t="s">
        <v>30</v>
      </c>
      <c r="D172" t="s">
        <v>12</v>
      </c>
      <c r="E172">
        <v>4</v>
      </c>
      <c r="F172">
        <v>16</v>
      </c>
      <c r="G172">
        <v>64</v>
      </c>
      <c r="H172">
        <v>0.12</v>
      </c>
      <c r="I172">
        <v>7.68</v>
      </c>
      <c r="J172" t="s">
        <v>32</v>
      </c>
    </row>
    <row r="173" spans="1:10" x14ac:dyDescent="0.3">
      <c r="A173" t="s">
        <v>203</v>
      </c>
      <c r="B173" s="1">
        <v>43297</v>
      </c>
      <c r="C173" t="s">
        <v>15</v>
      </c>
      <c r="D173" t="s">
        <v>27</v>
      </c>
      <c r="E173">
        <v>15</v>
      </c>
      <c r="F173">
        <v>40</v>
      </c>
      <c r="G173">
        <v>600</v>
      </c>
      <c r="H173">
        <v>0.03</v>
      </c>
      <c r="I173">
        <v>18</v>
      </c>
      <c r="J173" t="s">
        <v>35</v>
      </c>
    </row>
    <row r="174" spans="1:10" x14ac:dyDescent="0.3">
      <c r="A174" t="s">
        <v>204</v>
      </c>
      <c r="B174" s="1">
        <v>43297</v>
      </c>
      <c r="C174" t="s">
        <v>15</v>
      </c>
      <c r="D174" t="s">
        <v>31</v>
      </c>
      <c r="E174">
        <v>20</v>
      </c>
      <c r="F174">
        <v>40</v>
      </c>
      <c r="G174">
        <v>800</v>
      </c>
      <c r="H174">
        <v>0.03</v>
      </c>
      <c r="I174">
        <v>24</v>
      </c>
      <c r="J174" t="s">
        <v>37</v>
      </c>
    </row>
    <row r="175" spans="1:10" x14ac:dyDescent="0.3">
      <c r="A175" t="s">
        <v>205</v>
      </c>
      <c r="B175" s="1">
        <v>43298</v>
      </c>
      <c r="C175" t="s">
        <v>34</v>
      </c>
      <c r="D175" t="s">
        <v>24</v>
      </c>
      <c r="E175">
        <v>9</v>
      </c>
      <c r="F175">
        <v>150</v>
      </c>
      <c r="G175">
        <v>1350</v>
      </c>
      <c r="H175">
        <v>0.06</v>
      </c>
      <c r="I175">
        <v>81</v>
      </c>
      <c r="J175" t="s">
        <v>39</v>
      </c>
    </row>
    <row r="176" spans="1:10" x14ac:dyDescent="0.3">
      <c r="A176" t="s">
        <v>206</v>
      </c>
      <c r="B176" s="1">
        <v>43298</v>
      </c>
      <c r="C176" t="s">
        <v>15</v>
      </c>
      <c r="D176" t="s">
        <v>16</v>
      </c>
      <c r="E176">
        <v>23</v>
      </c>
      <c r="F176">
        <v>40</v>
      </c>
      <c r="G176">
        <v>920</v>
      </c>
      <c r="H176">
        <v>0.06</v>
      </c>
      <c r="I176">
        <v>55.2</v>
      </c>
      <c r="J176" t="s">
        <v>41</v>
      </c>
    </row>
    <row r="177" spans="1:10" x14ac:dyDescent="0.3">
      <c r="A177" t="s">
        <v>207</v>
      </c>
      <c r="B177" s="1">
        <v>43298</v>
      </c>
      <c r="C177" t="s">
        <v>11</v>
      </c>
      <c r="D177" t="s">
        <v>31</v>
      </c>
      <c r="E177">
        <v>13</v>
      </c>
      <c r="F177">
        <v>80</v>
      </c>
      <c r="G177">
        <v>1040</v>
      </c>
      <c r="H177">
        <v>0.05</v>
      </c>
      <c r="I177">
        <v>52</v>
      </c>
      <c r="J177" t="s">
        <v>43</v>
      </c>
    </row>
    <row r="178" spans="1:10" x14ac:dyDescent="0.3">
      <c r="A178" t="s">
        <v>208</v>
      </c>
      <c r="B178" s="1">
        <v>43298</v>
      </c>
      <c r="C178" t="s">
        <v>30</v>
      </c>
      <c r="D178" t="s">
        <v>12</v>
      </c>
      <c r="E178">
        <v>22</v>
      </c>
      <c r="F178">
        <v>16</v>
      </c>
      <c r="G178">
        <v>352</v>
      </c>
      <c r="H178">
        <v>0.01</v>
      </c>
      <c r="I178">
        <v>3.52</v>
      </c>
      <c r="J178" t="s">
        <v>13</v>
      </c>
    </row>
    <row r="179" spans="1:10" x14ac:dyDescent="0.3">
      <c r="A179" t="s">
        <v>209</v>
      </c>
      <c r="B179" s="1">
        <v>43298</v>
      </c>
      <c r="C179" t="s">
        <v>15</v>
      </c>
      <c r="D179" t="s">
        <v>12</v>
      </c>
      <c r="E179">
        <v>19</v>
      </c>
      <c r="F179">
        <v>40</v>
      </c>
      <c r="G179">
        <v>760</v>
      </c>
      <c r="H179">
        <v>0.04</v>
      </c>
      <c r="I179">
        <v>30.4</v>
      </c>
      <c r="J179" t="s">
        <v>17</v>
      </c>
    </row>
    <row r="180" spans="1:10" x14ac:dyDescent="0.3">
      <c r="A180" t="s">
        <v>210</v>
      </c>
      <c r="B180" s="1">
        <v>43298</v>
      </c>
      <c r="C180" t="s">
        <v>11</v>
      </c>
      <c r="D180" t="s">
        <v>27</v>
      </c>
      <c r="E180">
        <v>4</v>
      </c>
      <c r="F180">
        <v>80</v>
      </c>
      <c r="G180">
        <v>320</v>
      </c>
      <c r="H180">
        <v>0.11</v>
      </c>
      <c r="I180">
        <v>35.200000000000003</v>
      </c>
      <c r="J180" t="s">
        <v>20</v>
      </c>
    </row>
    <row r="181" spans="1:10" x14ac:dyDescent="0.3">
      <c r="A181" t="s">
        <v>211</v>
      </c>
      <c r="B181" s="1">
        <v>43298</v>
      </c>
      <c r="C181" t="s">
        <v>30</v>
      </c>
      <c r="D181" t="s">
        <v>12</v>
      </c>
      <c r="E181">
        <v>12</v>
      </c>
      <c r="F181">
        <v>16</v>
      </c>
      <c r="G181">
        <v>192</v>
      </c>
      <c r="H181">
        <v>0.11</v>
      </c>
      <c r="I181">
        <v>21.12</v>
      </c>
      <c r="J181" t="s">
        <v>22</v>
      </c>
    </row>
    <row r="182" spans="1:10" x14ac:dyDescent="0.3">
      <c r="A182" t="s">
        <v>212</v>
      </c>
      <c r="B182" s="1">
        <v>43298</v>
      </c>
      <c r="C182" t="s">
        <v>34</v>
      </c>
      <c r="D182" t="s">
        <v>16</v>
      </c>
      <c r="E182">
        <v>16</v>
      </c>
      <c r="F182">
        <v>150</v>
      </c>
      <c r="G182">
        <v>2400</v>
      </c>
      <c r="H182">
        <v>0.08</v>
      </c>
      <c r="I182">
        <v>192</v>
      </c>
      <c r="J182" t="s">
        <v>25</v>
      </c>
    </row>
    <row r="183" spans="1:10" x14ac:dyDescent="0.3">
      <c r="A183" t="s">
        <v>213</v>
      </c>
      <c r="B183" s="1">
        <v>43298</v>
      </c>
      <c r="C183" t="s">
        <v>11</v>
      </c>
      <c r="D183" t="s">
        <v>12</v>
      </c>
      <c r="E183">
        <v>7</v>
      </c>
      <c r="F183">
        <v>80</v>
      </c>
      <c r="G183">
        <v>560</v>
      </c>
      <c r="H183">
        <v>0.02</v>
      </c>
      <c r="I183">
        <v>11.2</v>
      </c>
      <c r="J183" t="s">
        <v>28</v>
      </c>
    </row>
    <row r="184" spans="1:10" x14ac:dyDescent="0.3">
      <c r="A184" t="s">
        <v>214</v>
      </c>
      <c r="B184" s="1">
        <v>43298</v>
      </c>
      <c r="C184" t="s">
        <v>15</v>
      </c>
      <c r="D184" t="s">
        <v>31</v>
      </c>
      <c r="E184">
        <v>20</v>
      </c>
      <c r="F184">
        <v>40</v>
      </c>
      <c r="G184">
        <v>800</v>
      </c>
      <c r="H184">
        <v>7.0000000000000007E-2</v>
      </c>
      <c r="I184">
        <v>56</v>
      </c>
      <c r="J184" t="s">
        <v>32</v>
      </c>
    </row>
    <row r="185" spans="1:10" x14ac:dyDescent="0.3">
      <c r="A185" t="s">
        <v>215</v>
      </c>
      <c r="B185" s="1">
        <v>43298</v>
      </c>
      <c r="C185" t="s">
        <v>11</v>
      </c>
      <c r="D185" t="s">
        <v>16</v>
      </c>
      <c r="E185">
        <v>15</v>
      </c>
      <c r="F185">
        <v>80</v>
      </c>
      <c r="G185">
        <v>1200</v>
      </c>
      <c r="H185">
        <v>0.12</v>
      </c>
      <c r="I185">
        <v>144</v>
      </c>
      <c r="J185" t="s">
        <v>35</v>
      </c>
    </row>
    <row r="186" spans="1:10" x14ac:dyDescent="0.3">
      <c r="A186" t="s">
        <v>216</v>
      </c>
      <c r="B186" s="1">
        <v>43298</v>
      </c>
      <c r="C186" t="s">
        <v>15</v>
      </c>
      <c r="D186" t="s">
        <v>12</v>
      </c>
      <c r="E186">
        <v>5</v>
      </c>
      <c r="F186">
        <v>40</v>
      </c>
      <c r="G186">
        <v>200</v>
      </c>
      <c r="H186">
        <v>0.09</v>
      </c>
      <c r="I186">
        <v>18</v>
      </c>
      <c r="J186" t="s">
        <v>37</v>
      </c>
    </row>
    <row r="187" spans="1:10" x14ac:dyDescent="0.3">
      <c r="A187" t="s">
        <v>217</v>
      </c>
      <c r="B187" s="1">
        <v>43298</v>
      </c>
      <c r="C187" t="s">
        <v>30</v>
      </c>
      <c r="D187" t="s">
        <v>31</v>
      </c>
      <c r="E187">
        <v>12</v>
      </c>
      <c r="F187">
        <v>16</v>
      </c>
      <c r="G187">
        <v>192</v>
      </c>
      <c r="H187">
        <v>0.04</v>
      </c>
      <c r="I187">
        <v>7.68</v>
      </c>
      <c r="J187" t="s">
        <v>39</v>
      </c>
    </row>
    <row r="188" spans="1:10" x14ac:dyDescent="0.3">
      <c r="A188" t="s">
        <v>218</v>
      </c>
      <c r="B188" s="1">
        <v>43299</v>
      </c>
      <c r="C188" t="s">
        <v>34</v>
      </c>
      <c r="D188" t="s">
        <v>27</v>
      </c>
      <c r="E188">
        <v>3</v>
      </c>
      <c r="F188">
        <v>150</v>
      </c>
      <c r="G188">
        <v>450</v>
      </c>
      <c r="H188">
        <v>0.01</v>
      </c>
      <c r="I188">
        <v>4.5</v>
      </c>
      <c r="J188" t="s">
        <v>41</v>
      </c>
    </row>
    <row r="189" spans="1:10" x14ac:dyDescent="0.3">
      <c r="A189" t="s">
        <v>219</v>
      </c>
      <c r="B189" s="1">
        <v>43299</v>
      </c>
      <c r="C189" t="s">
        <v>15</v>
      </c>
      <c r="D189" t="s">
        <v>31</v>
      </c>
      <c r="E189">
        <v>7</v>
      </c>
      <c r="F189">
        <v>40</v>
      </c>
      <c r="G189">
        <v>280</v>
      </c>
      <c r="H189">
        <v>0.12</v>
      </c>
      <c r="I189">
        <v>33.6</v>
      </c>
      <c r="J189" t="s">
        <v>43</v>
      </c>
    </row>
    <row r="190" spans="1:10" x14ac:dyDescent="0.3">
      <c r="A190" t="s">
        <v>220</v>
      </c>
      <c r="B190" s="1">
        <v>43299</v>
      </c>
      <c r="C190" t="s">
        <v>11</v>
      </c>
      <c r="D190" t="s">
        <v>16</v>
      </c>
      <c r="E190">
        <v>2</v>
      </c>
      <c r="F190">
        <v>80</v>
      </c>
      <c r="G190">
        <v>160</v>
      </c>
      <c r="H190">
        <v>0.04</v>
      </c>
      <c r="I190">
        <v>6.4</v>
      </c>
      <c r="J190" t="s">
        <v>13</v>
      </c>
    </row>
    <row r="191" spans="1:10" x14ac:dyDescent="0.3">
      <c r="A191" t="s">
        <v>221</v>
      </c>
      <c r="B191" s="1">
        <v>43299</v>
      </c>
      <c r="C191" t="s">
        <v>15</v>
      </c>
      <c r="D191" t="s">
        <v>27</v>
      </c>
      <c r="E191">
        <v>6</v>
      </c>
      <c r="F191">
        <v>40</v>
      </c>
      <c r="G191">
        <v>240</v>
      </c>
      <c r="H191">
        <v>7.0000000000000007E-2</v>
      </c>
      <c r="I191">
        <v>16.8</v>
      </c>
      <c r="J191" t="s">
        <v>17</v>
      </c>
    </row>
    <row r="192" spans="1:10" x14ac:dyDescent="0.3">
      <c r="A192" t="s">
        <v>222</v>
      </c>
      <c r="B192" s="1">
        <v>43299</v>
      </c>
      <c r="C192" t="s">
        <v>30</v>
      </c>
      <c r="D192" t="s">
        <v>24</v>
      </c>
      <c r="E192">
        <v>6</v>
      </c>
      <c r="F192">
        <v>16</v>
      </c>
      <c r="G192">
        <v>96</v>
      </c>
      <c r="H192">
        <v>0.06</v>
      </c>
      <c r="I192">
        <v>5.76</v>
      </c>
      <c r="J192" t="s">
        <v>20</v>
      </c>
    </row>
    <row r="193" spans="1:10" x14ac:dyDescent="0.3">
      <c r="A193" t="s">
        <v>223</v>
      </c>
      <c r="B193" s="1">
        <v>43299</v>
      </c>
      <c r="C193" t="s">
        <v>30</v>
      </c>
      <c r="D193" t="s">
        <v>12</v>
      </c>
      <c r="E193">
        <v>7</v>
      </c>
      <c r="F193">
        <v>16</v>
      </c>
      <c r="G193">
        <v>112</v>
      </c>
      <c r="H193">
        <v>0.02</v>
      </c>
      <c r="I193">
        <v>2.2400000000000002</v>
      </c>
      <c r="J193" t="s">
        <v>22</v>
      </c>
    </row>
    <row r="194" spans="1:10" x14ac:dyDescent="0.3">
      <c r="A194" t="s">
        <v>224</v>
      </c>
      <c r="B194" s="1">
        <v>43299</v>
      </c>
      <c r="C194" t="s">
        <v>30</v>
      </c>
      <c r="D194" t="s">
        <v>16</v>
      </c>
      <c r="E194">
        <v>20</v>
      </c>
      <c r="F194">
        <v>16</v>
      </c>
      <c r="G194">
        <v>320</v>
      </c>
      <c r="H194">
        <v>0.06</v>
      </c>
      <c r="I194">
        <v>19.2</v>
      </c>
      <c r="J194" t="s">
        <v>25</v>
      </c>
    </row>
    <row r="195" spans="1:10" x14ac:dyDescent="0.3">
      <c r="A195" t="s">
        <v>225</v>
      </c>
      <c r="B195" s="1">
        <v>43299</v>
      </c>
      <c r="C195" t="s">
        <v>30</v>
      </c>
      <c r="D195" t="s">
        <v>16</v>
      </c>
      <c r="E195">
        <v>21</v>
      </c>
      <c r="F195">
        <v>16</v>
      </c>
      <c r="G195">
        <v>336</v>
      </c>
      <c r="H195">
        <v>0.02</v>
      </c>
      <c r="I195">
        <v>6.72</v>
      </c>
      <c r="J195" t="s">
        <v>28</v>
      </c>
    </row>
    <row r="196" spans="1:10" x14ac:dyDescent="0.3">
      <c r="A196" t="s">
        <v>226</v>
      </c>
      <c r="B196" s="1">
        <v>43299</v>
      </c>
      <c r="C196" t="s">
        <v>11</v>
      </c>
      <c r="D196" t="s">
        <v>27</v>
      </c>
      <c r="E196">
        <v>21</v>
      </c>
      <c r="F196">
        <v>80</v>
      </c>
      <c r="G196">
        <v>1680</v>
      </c>
      <c r="H196">
        <v>0.05</v>
      </c>
      <c r="I196">
        <v>84</v>
      </c>
      <c r="J196" t="s">
        <v>32</v>
      </c>
    </row>
    <row r="197" spans="1:10" x14ac:dyDescent="0.3">
      <c r="A197" t="s">
        <v>227</v>
      </c>
      <c r="B197" s="1">
        <v>43299</v>
      </c>
      <c r="C197" t="s">
        <v>30</v>
      </c>
      <c r="D197" t="s">
        <v>27</v>
      </c>
      <c r="E197">
        <v>10</v>
      </c>
      <c r="F197">
        <v>16</v>
      </c>
      <c r="G197">
        <v>160</v>
      </c>
      <c r="H197">
        <v>0.01</v>
      </c>
      <c r="I197">
        <v>1.6</v>
      </c>
      <c r="J197" t="s">
        <v>35</v>
      </c>
    </row>
    <row r="198" spans="1:10" x14ac:dyDescent="0.3">
      <c r="A198" t="s">
        <v>228</v>
      </c>
      <c r="B198" s="1">
        <v>43300</v>
      </c>
      <c r="C198" t="s">
        <v>19</v>
      </c>
      <c r="D198" t="s">
        <v>27</v>
      </c>
      <c r="E198">
        <v>2</v>
      </c>
      <c r="F198">
        <v>230</v>
      </c>
      <c r="G198">
        <v>460</v>
      </c>
      <c r="H198">
        <v>0.09</v>
      </c>
      <c r="I198">
        <v>41.4</v>
      </c>
      <c r="J198" t="s">
        <v>37</v>
      </c>
    </row>
    <row r="199" spans="1:10" x14ac:dyDescent="0.3">
      <c r="A199" t="s">
        <v>229</v>
      </c>
      <c r="B199" s="1">
        <v>43300</v>
      </c>
      <c r="C199" t="s">
        <v>34</v>
      </c>
      <c r="D199" t="s">
        <v>12</v>
      </c>
      <c r="E199">
        <v>20</v>
      </c>
      <c r="F199">
        <v>150</v>
      </c>
      <c r="G199">
        <v>3000</v>
      </c>
      <c r="H199">
        <v>0.03</v>
      </c>
      <c r="I199">
        <v>90</v>
      </c>
      <c r="J199" t="s">
        <v>39</v>
      </c>
    </row>
    <row r="200" spans="1:10" x14ac:dyDescent="0.3">
      <c r="A200" t="s">
        <v>230</v>
      </c>
      <c r="B200" s="1">
        <v>43300</v>
      </c>
      <c r="C200" t="s">
        <v>15</v>
      </c>
      <c r="D200" t="s">
        <v>12</v>
      </c>
      <c r="E200">
        <v>23</v>
      </c>
      <c r="F200">
        <v>40</v>
      </c>
      <c r="G200">
        <v>920</v>
      </c>
      <c r="H200">
        <v>0.03</v>
      </c>
      <c r="I200">
        <v>27.6</v>
      </c>
      <c r="J200" t="s">
        <v>41</v>
      </c>
    </row>
    <row r="201" spans="1:10" x14ac:dyDescent="0.3">
      <c r="A201" t="s">
        <v>231</v>
      </c>
      <c r="B201" s="1">
        <v>43300</v>
      </c>
      <c r="C201" t="s">
        <v>11</v>
      </c>
      <c r="D201" t="s">
        <v>27</v>
      </c>
      <c r="E201">
        <v>17</v>
      </c>
      <c r="F201">
        <v>80</v>
      </c>
      <c r="G201">
        <v>1360</v>
      </c>
      <c r="H201">
        <v>0.05</v>
      </c>
      <c r="I201">
        <v>68</v>
      </c>
      <c r="J201" t="s">
        <v>43</v>
      </c>
    </row>
    <row r="202" spans="1:10" x14ac:dyDescent="0.3">
      <c r="A202" t="s">
        <v>232</v>
      </c>
      <c r="B202" s="1">
        <v>43300</v>
      </c>
      <c r="C202" t="s">
        <v>19</v>
      </c>
      <c r="D202" t="s">
        <v>27</v>
      </c>
      <c r="E202">
        <v>11</v>
      </c>
      <c r="F202">
        <v>230</v>
      </c>
      <c r="G202">
        <v>2530</v>
      </c>
      <c r="H202">
        <v>0.12</v>
      </c>
      <c r="I202">
        <v>303.60000000000002</v>
      </c>
      <c r="J202" t="s">
        <v>13</v>
      </c>
    </row>
    <row r="203" spans="1:10" x14ac:dyDescent="0.3">
      <c r="A203" t="s">
        <v>233</v>
      </c>
      <c r="B203" s="1">
        <v>43300</v>
      </c>
      <c r="C203" t="s">
        <v>34</v>
      </c>
      <c r="D203" t="s">
        <v>16</v>
      </c>
      <c r="E203">
        <v>10</v>
      </c>
      <c r="F203">
        <v>150</v>
      </c>
      <c r="G203">
        <v>1500</v>
      </c>
      <c r="H203">
        <v>0.01</v>
      </c>
      <c r="I203">
        <v>15</v>
      </c>
      <c r="J203" t="s">
        <v>17</v>
      </c>
    </row>
    <row r="204" spans="1:10" x14ac:dyDescent="0.3">
      <c r="A204" t="s">
        <v>234</v>
      </c>
      <c r="B204" s="1">
        <v>43300</v>
      </c>
      <c r="C204" t="s">
        <v>11</v>
      </c>
      <c r="D204" t="s">
        <v>16</v>
      </c>
      <c r="E204">
        <v>17</v>
      </c>
      <c r="F204">
        <v>80</v>
      </c>
      <c r="G204">
        <v>1360</v>
      </c>
      <c r="H204">
        <v>0.03</v>
      </c>
      <c r="I204">
        <v>40.799999999999997</v>
      </c>
      <c r="J204" t="s">
        <v>20</v>
      </c>
    </row>
    <row r="205" spans="1:10" x14ac:dyDescent="0.3">
      <c r="A205" t="s">
        <v>235</v>
      </c>
      <c r="B205" s="1">
        <v>43301</v>
      </c>
      <c r="C205" t="s">
        <v>19</v>
      </c>
      <c r="D205" t="s">
        <v>12</v>
      </c>
      <c r="E205">
        <v>9</v>
      </c>
      <c r="F205">
        <v>230</v>
      </c>
      <c r="G205">
        <v>2070</v>
      </c>
      <c r="H205">
        <v>7.0000000000000007E-2</v>
      </c>
      <c r="I205">
        <v>144.9</v>
      </c>
      <c r="J205" t="s">
        <v>22</v>
      </c>
    </row>
    <row r="206" spans="1:10" x14ac:dyDescent="0.3">
      <c r="A206" t="s">
        <v>236</v>
      </c>
      <c r="B206" s="1">
        <v>43301</v>
      </c>
      <c r="C206" t="s">
        <v>19</v>
      </c>
      <c r="D206" t="s">
        <v>12</v>
      </c>
      <c r="E206">
        <v>11</v>
      </c>
      <c r="F206">
        <v>230</v>
      </c>
      <c r="G206">
        <v>2530</v>
      </c>
      <c r="H206">
        <v>0.02</v>
      </c>
      <c r="I206">
        <v>50.6</v>
      </c>
      <c r="J206" t="s">
        <v>25</v>
      </c>
    </row>
    <row r="207" spans="1:10" x14ac:dyDescent="0.3">
      <c r="A207" t="s">
        <v>237</v>
      </c>
      <c r="B207" s="1">
        <v>43301</v>
      </c>
      <c r="C207" t="s">
        <v>15</v>
      </c>
      <c r="D207" t="s">
        <v>24</v>
      </c>
      <c r="E207">
        <v>2</v>
      </c>
      <c r="F207">
        <v>40</v>
      </c>
      <c r="G207">
        <v>80</v>
      </c>
      <c r="H207">
        <v>0.02</v>
      </c>
      <c r="I207">
        <v>1.6</v>
      </c>
      <c r="J207" t="s">
        <v>28</v>
      </c>
    </row>
    <row r="208" spans="1:10" x14ac:dyDescent="0.3">
      <c r="A208" t="s">
        <v>238</v>
      </c>
      <c r="B208" s="1">
        <v>43301</v>
      </c>
      <c r="C208" t="s">
        <v>19</v>
      </c>
      <c r="D208" t="s">
        <v>31</v>
      </c>
      <c r="E208">
        <v>3</v>
      </c>
      <c r="F208">
        <v>230</v>
      </c>
      <c r="G208">
        <v>690</v>
      </c>
      <c r="H208">
        <v>0.1</v>
      </c>
      <c r="I208">
        <v>69</v>
      </c>
      <c r="J208" t="s">
        <v>32</v>
      </c>
    </row>
    <row r="209" spans="1:10" x14ac:dyDescent="0.3">
      <c r="A209" t="s">
        <v>239</v>
      </c>
      <c r="B209" s="1">
        <v>43301</v>
      </c>
      <c r="C209" t="s">
        <v>15</v>
      </c>
      <c r="D209" t="s">
        <v>31</v>
      </c>
      <c r="E209">
        <v>7</v>
      </c>
      <c r="F209">
        <v>40</v>
      </c>
      <c r="G209">
        <v>280</v>
      </c>
      <c r="H209">
        <v>0.05</v>
      </c>
      <c r="I209">
        <v>14</v>
      </c>
      <c r="J209" t="s">
        <v>35</v>
      </c>
    </row>
    <row r="210" spans="1:10" x14ac:dyDescent="0.3">
      <c r="A210" t="s">
        <v>240</v>
      </c>
      <c r="B210" s="1">
        <v>43301</v>
      </c>
      <c r="C210" t="s">
        <v>34</v>
      </c>
      <c r="D210" t="s">
        <v>16</v>
      </c>
      <c r="E210">
        <v>20</v>
      </c>
      <c r="F210">
        <v>150</v>
      </c>
      <c r="G210">
        <v>3000</v>
      </c>
      <c r="H210">
        <v>0.09</v>
      </c>
      <c r="I210">
        <v>270</v>
      </c>
      <c r="J210" t="s">
        <v>37</v>
      </c>
    </row>
    <row r="211" spans="1:10" x14ac:dyDescent="0.3">
      <c r="A211" t="s">
        <v>241</v>
      </c>
      <c r="B211" s="1">
        <v>43301</v>
      </c>
      <c r="C211" t="s">
        <v>15</v>
      </c>
      <c r="D211" t="s">
        <v>24</v>
      </c>
      <c r="E211">
        <v>4</v>
      </c>
      <c r="F211">
        <v>40</v>
      </c>
      <c r="G211">
        <v>160</v>
      </c>
      <c r="H211">
        <v>0.11</v>
      </c>
      <c r="I211">
        <v>17.600000000000001</v>
      </c>
      <c r="J211" t="s">
        <v>39</v>
      </c>
    </row>
    <row r="212" spans="1:10" x14ac:dyDescent="0.3">
      <c r="A212" t="s">
        <v>242</v>
      </c>
      <c r="B212" s="1">
        <v>43302</v>
      </c>
      <c r="C212" t="s">
        <v>19</v>
      </c>
      <c r="D212" t="s">
        <v>24</v>
      </c>
      <c r="E212">
        <v>2</v>
      </c>
      <c r="F212">
        <v>230</v>
      </c>
      <c r="G212">
        <v>460</v>
      </c>
      <c r="H212">
        <v>0.09</v>
      </c>
      <c r="I212">
        <v>41.4</v>
      </c>
      <c r="J212" t="s">
        <v>13</v>
      </c>
    </row>
    <row r="213" spans="1:10" x14ac:dyDescent="0.3">
      <c r="A213" t="s">
        <v>243</v>
      </c>
      <c r="B213" s="1">
        <v>43302</v>
      </c>
      <c r="C213" t="s">
        <v>15</v>
      </c>
      <c r="D213" t="s">
        <v>16</v>
      </c>
      <c r="E213">
        <v>7</v>
      </c>
      <c r="F213">
        <v>40</v>
      </c>
      <c r="G213">
        <v>280</v>
      </c>
      <c r="H213">
        <v>0.01</v>
      </c>
      <c r="I213">
        <v>2.8</v>
      </c>
      <c r="J213" t="s">
        <v>17</v>
      </c>
    </row>
    <row r="214" spans="1:10" x14ac:dyDescent="0.3">
      <c r="A214" t="s">
        <v>244</v>
      </c>
      <c r="B214" s="1">
        <v>43302</v>
      </c>
      <c r="C214" t="s">
        <v>15</v>
      </c>
      <c r="D214" t="s">
        <v>12</v>
      </c>
      <c r="E214">
        <v>2</v>
      </c>
      <c r="F214">
        <v>40</v>
      </c>
      <c r="G214">
        <v>80</v>
      </c>
      <c r="H214">
        <v>0.12</v>
      </c>
      <c r="I214">
        <v>9.6</v>
      </c>
      <c r="J214" t="s">
        <v>20</v>
      </c>
    </row>
    <row r="215" spans="1:10" x14ac:dyDescent="0.3">
      <c r="A215" t="s">
        <v>245</v>
      </c>
      <c r="B215" s="1">
        <v>43302</v>
      </c>
      <c r="C215" t="s">
        <v>11</v>
      </c>
      <c r="D215" t="s">
        <v>16</v>
      </c>
      <c r="E215">
        <v>3</v>
      </c>
      <c r="F215">
        <v>80</v>
      </c>
      <c r="G215">
        <v>240</v>
      </c>
      <c r="H215">
        <v>0.02</v>
      </c>
      <c r="I215">
        <v>4.8</v>
      </c>
      <c r="J215" t="s">
        <v>22</v>
      </c>
    </row>
    <row r="216" spans="1:10" x14ac:dyDescent="0.3">
      <c r="A216" t="s">
        <v>246</v>
      </c>
      <c r="B216" s="1">
        <v>43302</v>
      </c>
      <c r="C216" t="s">
        <v>30</v>
      </c>
      <c r="D216" t="s">
        <v>12</v>
      </c>
      <c r="E216">
        <v>18</v>
      </c>
      <c r="F216">
        <v>16</v>
      </c>
      <c r="G216">
        <v>288</v>
      </c>
      <c r="H216">
        <v>0.11</v>
      </c>
      <c r="I216">
        <v>31.68</v>
      </c>
      <c r="J216" t="s">
        <v>25</v>
      </c>
    </row>
    <row r="217" spans="1:10" x14ac:dyDescent="0.3">
      <c r="A217" t="s">
        <v>247</v>
      </c>
      <c r="B217" s="1">
        <v>43302</v>
      </c>
      <c r="C217" t="s">
        <v>11</v>
      </c>
      <c r="D217" t="s">
        <v>16</v>
      </c>
      <c r="E217">
        <v>5</v>
      </c>
      <c r="F217">
        <v>80</v>
      </c>
      <c r="G217">
        <v>400</v>
      </c>
      <c r="H217">
        <v>7.0000000000000007E-2</v>
      </c>
      <c r="I217">
        <v>28</v>
      </c>
      <c r="J217" t="s">
        <v>28</v>
      </c>
    </row>
    <row r="218" spans="1:10" x14ac:dyDescent="0.3">
      <c r="A218" t="s">
        <v>248</v>
      </c>
      <c r="B218" s="1">
        <v>43302</v>
      </c>
      <c r="C218" t="s">
        <v>30</v>
      </c>
      <c r="D218" t="s">
        <v>24</v>
      </c>
      <c r="E218">
        <v>3</v>
      </c>
      <c r="F218">
        <v>16</v>
      </c>
      <c r="G218">
        <v>48</v>
      </c>
      <c r="H218">
        <v>0.05</v>
      </c>
      <c r="I218">
        <v>2.4</v>
      </c>
      <c r="J218" t="s">
        <v>32</v>
      </c>
    </row>
    <row r="219" spans="1:10" x14ac:dyDescent="0.3">
      <c r="A219" t="s">
        <v>249</v>
      </c>
      <c r="B219" s="1">
        <v>43302</v>
      </c>
      <c r="C219" t="s">
        <v>11</v>
      </c>
      <c r="D219" t="s">
        <v>27</v>
      </c>
      <c r="E219">
        <v>7</v>
      </c>
      <c r="F219">
        <v>80</v>
      </c>
      <c r="G219">
        <v>560</v>
      </c>
      <c r="H219">
        <v>0.02</v>
      </c>
      <c r="I219">
        <v>11.2</v>
      </c>
      <c r="J219" t="s">
        <v>35</v>
      </c>
    </row>
    <row r="220" spans="1:10" x14ac:dyDescent="0.3">
      <c r="A220" t="s">
        <v>250</v>
      </c>
      <c r="B220" s="1">
        <v>43302</v>
      </c>
      <c r="C220" t="s">
        <v>34</v>
      </c>
      <c r="D220" t="s">
        <v>27</v>
      </c>
      <c r="E220">
        <v>15</v>
      </c>
      <c r="F220">
        <v>150</v>
      </c>
      <c r="G220">
        <v>2250</v>
      </c>
      <c r="H220">
        <v>0.08</v>
      </c>
      <c r="I220">
        <v>180</v>
      </c>
      <c r="J220" t="s">
        <v>37</v>
      </c>
    </row>
    <row r="221" spans="1:10" x14ac:dyDescent="0.3">
      <c r="A221" t="s">
        <v>251</v>
      </c>
      <c r="B221" s="1">
        <v>43302</v>
      </c>
      <c r="C221" t="s">
        <v>11</v>
      </c>
      <c r="D221" t="s">
        <v>24</v>
      </c>
      <c r="E221">
        <v>10</v>
      </c>
      <c r="F221">
        <v>80</v>
      </c>
      <c r="G221">
        <v>800</v>
      </c>
      <c r="H221">
        <v>0.11</v>
      </c>
      <c r="I221">
        <v>88</v>
      </c>
      <c r="J221" t="s">
        <v>39</v>
      </c>
    </row>
    <row r="222" spans="1:10" x14ac:dyDescent="0.3">
      <c r="A222" t="s">
        <v>252</v>
      </c>
      <c r="B222" s="1">
        <v>43302</v>
      </c>
      <c r="C222" t="s">
        <v>19</v>
      </c>
      <c r="D222" t="s">
        <v>31</v>
      </c>
      <c r="E222">
        <v>13</v>
      </c>
      <c r="F222">
        <v>230</v>
      </c>
      <c r="G222">
        <v>2990</v>
      </c>
      <c r="H222">
        <v>0.06</v>
      </c>
      <c r="I222">
        <v>179.4</v>
      </c>
      <c r="J222" t="s">
        <v>41</v>
      </c>
    </row>
    <row r="223" spans="1:10" x14ac:dyDescent="0.3">
      <c r="A223" t="s">
        <v>253</v>
      </c>
      <c r="B223" s="1">
        <v>43302</v>
      </c>
      <c r="C223" t="s">
        <v>15</v>
      </c>
      <c r="D223" t="s">
        <v>12</v>
      </c>
      <c r="E223">
        <v>7</v>
      </c>
      <c r="F223">
        <v>40</v>
      </c>
      <c r="G223">
        <v>280</v>
      </c>
      <c r="H223">
        <v>0.1</v>
      </c>
      <c r="I223">
        <v>28</v>
      </c>
      <c r="J223" t="s">
        <v>43</v>
      </c>
    </row>
    <row r="224" spans="1:10" x14ac:dyDescent="0.3">
      <c r="A224" t="s">
        <v>254</v>
      </c>
      <c r="B224" s="1">
        <v>43302</v>
      </c>
      <c r="C224" t="s">
        <v>30</v>
      </c>
      <c r="D224" t="s">
        <v>24</v>
      </c>
      <c r="E224">
        <v>6</v>
      </c>
      <c r="F224">
        <v>16</v>
      </c>
      <c r="G224">
        <v>96</v>
      </c>
      <c r="H224">
        <v>0.01</v>
      </c>
      <c r="I224">
        <v>0.96</v>
      </c>
      <c r="J224" t="s">
        <v>13</v>
      </c>
    </row>
    <row r="225" spans="1:10" x14ac:dyDescent="0.3">
      <c r="A225" t="s">
        <v>255</v>
      </c>
      <c r="B225" s="1">
        <v>43303</v>
      </c>
      <c r="C225" t="s">
        <v>15</v>
      </c>
      <c r="D225" t="s">
        <v>24</v>
      </c>
      <c r="E225">
        <v>11</v>
      </c>
      <c r="F225">
        <v>40</v>
      </c>
      <c r="G225">
        <v>440</v>
      </c>
      <c r="H225">
        <v>0.05</v>
      </c>
      <c r="I225">
        <v>22</v>
      </c>
      <c r="J225" t="s">
        <v>17</v>
      </c>
    </row>
    <row r="226" spans="1:10" x14ac:dyDescent="0.3">
      <c r="A226" t="s">
        <v>256</v>
      </c>
      <c r="B226" s="1">
        <v>43303</v>
      </c>
      <c r="C226" t="s">
        <v>11</v>
      </c>
      <c r="D226" t="s">
        <v>27</v>
      </c>
      <c r="E226">
        <v>8</v>
      </c>
      <c r="F226">
        <v>80</v>
      </c>
      <c r="G226">
        <v>640</v>
      </c>
      <c r="H226">
        <v>0.06</v>
      </c>
      <c r="I226">
        <v>38.4</v>
      </c>
      <c r="J226" t="s">
        <v>20</v>
      </c>
    </row>
    <row r="227" spans="1:10" x14ac:dyDescent="0.3">
      <c r="A227" t="s">
        <v>257</v>
      </c>
      <c r="B227" s="1">
        <v>43303</v>
      </c>
      <c r="C227" t="s">
        <v>11</v>
      </c>
      <c r="D227" t="s">
        <v>12</v>
      </c>
      <c r="E227">
        <v>9</v>
      </c>
      <c r="F227">
        <v>80</v>
      </c>
      <c r="G227">
        <v>720</v>
      </c>
      <c r="H227">
        <v>0.04</v>
      </c>
      <c r="I227">
        <v>28.8</v>
      </c>
      <c r="J227" t="s">
        <v>22</v>
      </c>
    </row>
    <row r="228" spans="1:10" x14ac:dyDescent="0.3">
      <c r="A228" t="s">
        <v>258</v>
      </c>
      <c r="B228" s="1">
        <v>43303</v>
      </c>
      <c r="C228" t="s">
        <v>15</v>
      </c>
      <c r="D228" t="s">
        <v>31</v>
      </c>
      <c r="E228">
        <v>4</v>
      </c>
      <c r="F228">
        <v>40</v>
      </c>
      <c r="G228">
        <v>160</v>
      </c>
      <c r="H228">
        <v>0.09</v>
      </c>
      <c r="I228">
        <v>14.4</v>
      </c>
      <c r="J228" t="s">
        <v>25</v>
      </c>
    </row>
    <row r="229" spans="1:10" x14ac:dyDescent="0.3">
      <c r="A229" t="s">
        <v>259</v>
      </c>
      <c r="B229" s="1">
        <v>43303</v>
      </c>
      <c r="C229" t="s">
        <v>11</v>
      </c>
      <c r="D229" t="s">
        <v>16</v>
      </c>
      <c r="E229">
        <v>13</v>
      </c>
      <c r="F229">
        <v>80</v>
      </c>
      <c r="G229">
        <v>1040</v>
      </c>
      <c r="H229">
        <v>0.06</v>
      </c>
      <c r="I229">
        <v>62.4</v>
      </c>
      <c r="J229" t="s">
        <v>28</v>
      </c>
    </row>
    <row r="230" spans="1:10" x14ac:dyDescent="0.3">
      <c r="A230" t="s">
        <v>260</v>
      </c>
      <c r="B230" s="1">
        <v>43303</v>
      </c>
      <c r="C230" t="s">
        <v>34</v>
      </c>
      <c r="D230" t="s">
        <v>31</v>
      </c>
      <c r="E230">
        <v>4</v>
      </c>
      <c r="F230">
        <v>150</v>
      </c>
      <c r="G230">
        <v>600</v>
      </c>
      <c r="H230">
        <v>0.05</v>
      </c>
      <c r="I230">
        <v>30</v>
      </c>
      <c r="J230" t="s">
        <v>32</v>
      </c>
    </row>
    <row r="231" spans="1:10" x14ac:dyDescent="0.3">
      <c r="A231" t="s">
        <v>261</v>
      </c>
      <c r="B231" s="1">
        <v>43303</v>
      </c>
      <c r="C231" t="s">
        <v>19</v>
      </c>
      <c r="D231" t="s">
        <v>24</v>
      </c>
      <c r="E231">
        <v>14</v>
      </c>
      <c r="F231">
        <v>230</v>
      </c>
      <c r="G231">
        <v>3220</v>
      </c>
      <c r="H231">
        <v>0.12</v>
      </c>
      <c r="I231">
        <v>386.4</v>
      </c>
      <c r="J231" t="s">
        <v>35</v>
      </c>
    </row>
    <row r="232" spans="1:10" x14ac:dyDescent="0.3">
      <c r="A232" t="s">
        <v>262</v>
      </c>
      <c r="B232" s="1">
        <v>43303</v>
      </c>
      <c r="C232" t="s">
        <v>34</v>
      </c>
      <c r="D232" t="s">
        <v>31</v>
      </c>
      <c r="E232">
        <v>13</v>
      </c>
      <c r="F232">
        <v>150</v>
      </c>
      <c r="G232">
        <v>1950</v>
      </c>
      <c r="H232">
        <v>0.11</v>
      </c>
      <c r="I232">
        <v>214.5</v>
      </c>
      <c r="J232" t="s">
        <v>37</v>
      </c>
    </row>
    <row r="233" spans="1:10" x14ac:dyDescent="0.3">
      <c r="A233" t="s">
        <v>263</v>
      </c>
      <c r="B233" s="1">
        <v>43303</v>
      </c>
      <c r="C233" t="s">
        <v>34</v>
      </c>
      <c r="D233" t="s">
        <v>16</v>
      </c>
      <c r="E233">
        <v>16</v>
      </c>
      <c r="F233">
        <v>150</v>
      </c>
      <c r="G233">
        <v>2400</v>
      </c>
      <c r="H233">
        <v>0.03</v>
      </c>
      <c r="I233">
        <v>72</v>
      </c>
      <c r="J233" t="s">
        <v>39</v>
      </c>
    </row>
    <row r="234" spans="1:10" x14ac:dyDescent="0.3">
      <c r="A234" t="s">
        <v>264</v>
      </c>
      <c r="B234" s="1">
        <v>43303</v>
      </c>
      <c r="C234" t="s">
        <v>30</v>
      </c>
      <c r="D234" t="s">
        <v>12</v>
      </c>
      <c r="E234">
        <v>7</v>
      </c>
      <c r="F234">
        <v>16</v>
      </c>
      <c r="G234">
        <v>112</v>
      </c>
      <c r="H234">
        <v>0.12</v>
      </c>
      <c r="I234">
        <v>13.44</v>
      </c>
      <c r="J234" t="s">
        <v>41</v>
      </c>
    </row>
    <row r="235" spans="1:10" x14ac:dyDescent="0.3">
      <c r="A235" t="s">
        <v>265</v>
      </c>
      <c r="B235" s="1">
        <v>43303</v>
      </c>
      <c r="C235" t="s">
        <v>34</v>
      </c>
      <c r="D235" t="s">
        <v>27</v>
      </c>
      <c r="E235">
        <v>9</v>
      </c>
      <c r="F235">
        <v>150</v>
      </c>
      <c r="G235">
        <v>1350</v>
      </c>
      <c r="H235">
        <v>0.02</v>
      </c>
      <c r="I235">
        <v>27</v>
      </c>
      <c r="J235" t="s">
        <v>43</v>
      </c>
    </row>
    <row r="236" spans="1:10" x14ac:dyDescent="0.3">
      <c r="A236" t="s">
        <v>266</v>
      </c>
      <c r="B236" s="1">
        <v>43303</v>
      </c>
      <c r="C236" t="s">
        <v>30</v>
      </c>
      <c r="D236" t="s">
        <v>12</v>
      </c>
      <c r="E236">
        <v>10</v>
      </c>
      <c r="F236">
        <v>16</v>
      </c>
      <c r="G236">
        <v>160</v>
      </c>
      <c r="H236">
        <v>0.08</v>
      </c>
      <c r="I236">
        <v>12.8</v>
      </c>
      <c r="J236" t="s">
        <v>13</v>
      </c>
    </row>
    <row r="237" spans="1:10" x14ac:dyDescent="0.3">
      <c r="A237" t="s">
        <v>267</v>
      </c>
      <c r="B237" s="1">
        <v>43303</v>
      </c>
      <c r="C237" t="s">
        <v>11</v>
      </c>
      <c r="D237" t="s">
        <v>27</v>
      </c>
      <c r="E237">
        <v>15</v>
      </c>
      <c r="F237">
        <v>80</v>
      </c>
      <c r="G237">
        <v>1200</v>
      </c>
      <c r="H237">
        <v>0.08</v>
      </c>
      <c r="I237">
        <v>96</v>
      </c>
      <c r="J237" t="s">
        <v>17</v>
      </c>
    </row>
    <row r="238" spans="1:10" x14ac:dyDescent="0.3">
      <c r="A238" t="s">
        <v>268</v>
      </c>
      <c r="B238" s="1">
        <v>43303</v>
      </c>
      <c r="C238" t="s">
        <v>11</v>
      </c>
      <c r="D238" t="s">
        <v>31</v>
      </c>
      <c r="E238">
        <v>9</v>
      </c>
      <c r="F238">
        <v>80</v>
      </c>
      <c r="G238">
        <v>720</v>
      </c>
      <c r="H238">
        <v>0.06</v>
      </c>
      <c r="I238">
        <v>43.2</v>
      </c>
      <c r="J238" t="s">
        <v>20</v>
      </c>
    </row>
    <row r="239" spans="1:10" x14ac:dyDescent="0.3">
      <c r="A239" t="s">
        <v>269</v>
      </c>
      <c r="B239" s="1">
        <v>43304</v>
      </c>
      <c r="C239" t="s">
        <v>30</v>
      </c>
      <c r="D239" t="s">
        <v>27</v>
      </c>
      <c r="E239">
        <v>7</v>
      </c>
      <c r="F239">
        <v>16</v>
      </c>
      <c r="G239">
        <v>112</v>
      </c>
      <c r="H239">
        <v>0.08</v>
      </c>
      <c r="I239">
        <v>8.9600000000000009</v>
      </c>
      <c r="J239" t="s">
        <v>22</v>
      </c>
    </row>
    <row r="240" spans="1:10" x14ac:dyDescent="0.3">
      <c r="A240" t="s">
        <v>270</v>
      </c>
      <c r="B240" s="1">
        <v>43304</v>
      </c>
      <c r="C240" t="s">
        <v>34</v>
      </c>
      <c r="D240" t="s">
        <v>31</v>
      </c>
      <c r="E240">
        <v>7</v>
      </c>
      <c r="F240">
        <v>150</v>
      </c>
      <c r="G240">
        <v>1050</v>
      </c>
      <c r="H240">
        <v>0.03</v>
      </c>
      <c r="I240">
        <v>31.5</v>
      </c>
      <c r="J240" t="s">
        <v>25</v>
      </c>
    </row>
    <row r="241" spans="1:10" x14ac:dyDescent="0.3">
      <c r="A241" t="s">
        <v>271</v>
      </c>
      <c r="B241" s="1">
        <v>43304</v>
      </c>
      <c r="C241" t="s">
        <v>19</v>
      </c>
      <c r="D241" t="s">
        <v>27</v>
      </c>
      <c r="E241">
        <v>16</v>
      </c>
      <c r="F241">
        <v>230</v>
      </c>
      <c r="G241">
        <v>3680</v>
      </c>
      <c r="H241">
        <v>0.11</v>
      </c>
      <c r="I241">
        <v>404.8</v>
      </c>
      <c r="J241" t="s">
        <v>28</v>
      </c>
    </row>
    <row r="242" spans="1:10" x14ac:dyDescent="0.3">
      <c r="A242" t="s">
        <v>272</v>
      </c>
      <c r="B242" s="1">
        <v>43304</v>
      </c>
      <c r="C242" t="s">
        <v>30</v>
      </c>
      <c r="D242" t="s">
        <v>27</v>
      </c>
      <c r="E242">
        <v>18</v>
      </c>
      <c r="F242">
        <v>16</v>
      </c>
      <c r="G242">
        <v>288</v>
      </c>
      <c r="H242">
        <v>0.04</v>
      </c>
      <c r="I242">
        <v>11.52</v>
      </c>
      <c r="J242" t="s">
        <v>32</v>
      </c>
    </row>
    <row r="243" spans="1:10" x14ac:dyDescent="0.3">
      <c r="A243" t="s">
        <v>273</v>
      </c>
      <c r="B243" s="1">
        <v>43304</v>
      </c>
      <c r="C243" t="s">
        <v>19</v>
      </c>
      <c r="D243" t="s">
        <v>31</v>
      </c>
      <c r="E243">
        <v>20</v>
      </c>
      <c r="F243">
        <v>230</v>
      </c>
      <c r="G243">
        <v>4600</v>
      </c>
      <c r="H243">
        <v>0.11</v>
      </c>
      <c r="I243">
        <v>506</v>
      </c>
      <c r="J243" t="s">
        <v>35</v>
      </c>
    </row>
    <row r="244" spans="1:10" x14ac:dyDescent="0.3">
      <c r="A244" t="s">
        <v>274</v>
      </c>
      <c r="B244" s="1">
        <v>43304</v>
      </c>
      <c r="C244" t="s">
        <v>34</v>
      </c>
      <c r="D244" t="s">
        <v>12</v>
      </c>
      <c r="E244">
        <v>7</v>
      </c>
      <c r="F244">
        <v>150</v>
      </c>
      <c r="G244">
        <v>1050</v>
      </c>
      <c r="H244">
        <v>0.02</v>
      </c>
      <c r="I244">
        <v>21</v>
      </c>
      <c r="J244" t="s">
        <v>37</v>
      </c>
    </row>
    <row r="245" spans="1:10" x14ac:dyDescent="0.3">
      <c r="A245" t="s">
        <v>275</v>
      </c>
      <c r="B245" s="1">
        <v>43304</v>
      </c>
      <c r="C245" t="s">
        <v>30</v>
      </c>
      <c r="D245" t="s">
        <v>24</v>
      </c>
      <c r="E245">
        <v>11</v>
      </c>
      <c r="F245">
        <v>16</v>
      </c>
      <c r="G245">
        <v>176</v>
      </c>
      <c r="H245">
        <v>0.12</v>
      </c>
      <c r="I245">
        <v>21.12</v>
      </c>
      <c r="J245" t="s">
        <v>39</v>
      </c>
    </row>
    <row r="246" spans="1:10" x14ac:dyDescent="0.3">
      <c r="A246" t="s">
        <v>276</v>
      </c>
      <c r="B246" s="1">
        <v>43304</v>
      </c>
      <c r="C246" t="s">
        <v>15</v>
      </c>
      <c r="D246" t="s">
        <v>24</v>
      </c>
      <c r="E246">
        <v>12</v>
      </c>
      <c r="F246">
        <v>40</v>
      </c>
      <c r="G246">
        <v>480</v>
      </c>
      <c r="H246">
        <v>0.02</v>
      </c>
      <c r="I246">
        <v>9.6</v>
      </c>
      <c r="J246" t="s">
        <v>41</v>
      </c>
    </row>
    <row r="247" spans="1:10" x14ac:dyDescent="0.3">
      <c r="A247" t="s">
        <v>277</v>
      </c>
      <c r="B247" s="1">
        <v>43304</v>
      </c>
      <c r="C247" t="s">
        <v>34</v>
      </c>
      <c r="D247" t="s">
        <v>31</v>
      </c>
      <c r="E247">
        <v>7</v>
      </c>
      <c r="F247">
        <v>150</v>
      </c>
      <c r="G247">
        <v>1050</v>
      </c>
      <c r="H247">
        <v>0.02</v>
      </c>
      <c r="I247">
        <v>21</v>
      </c>
      <c r="J247" t="s">
        <v>43</v>
      </c>
    </row>
    <row r="248" spans="1:10" x14ac:dyDescent="0.3">
      <c r="A248" t="s">
        <v>278</v>
      </c>
      <c r="B248" s="1">
        <v>43304</v>
      </c>
      <c r="C248" t="s">
        <v>11</v>
      </c>
      <c r="D248" t="s">
        <v>24</v>
      </c>
      <c r="E248">
        <v>14</v>
      </c>
      <c r="F248">
        <v>80</v>
      </c>
      <c r="G248">
        <v>1120</v>
      </c>
      <c r="H248">
        <v>0.1</v>
      </c>
      <c r="I248">
        <v>112</v>
      </c>
      <c r="J248" t="s">
        <v>13</v>
      </c>
    </row>
    <row r="249" spans="1:10" x14ac:dyDescent="0.3">
      <c r="A249" t="s">
        <v>279</v>
      </c>
      <c r="B249" s="1">
        <v>43304</v>
      </c>
      <c r="C249" t="s">
        <v>19</v>
      </c>
      <c r="D249" t="s">
        <v>24</v>
      </c>
      <c r="E249">
        <v>12</v>
      </c>
      <c r="F249">
        <v>230</v>
      </c>
      <c r="G249">
        <v>2760</v>
      </c>
      <c r="H249">
        <v>0.06</v>
      </c>
      <c r="I249">
        <v>165.6</v>
      </c>
      <c r="J249" t="s">
        <v>17</v>
      </c>
    </row>
    <row r="250" spans="1:10" x14ac:dyDescent="0.3">
      <c r="A250" t="s">
        <v>280</v>
      </c>
      <c r="B250" s="1">
        <v>43305</v>
      </c>
      <c r="C250" t="s">
        <v>11</v>
      </c>
      <c r="D250" t="s">
        <v>16</v>
      </c>
      <c r="E250">
        <v>21</v>
      </c>
      <c r="F250">
        <v>80</v>
      </c>
      <c r="G250">
        <v>1680</v>
      </c>
      <c r="H250">
        <v>0.04</v>
      </c>
      <c r="I250">
        <v>67.2</v>
      </c>
      <c r="J250" t="s">
        <v>20</v>
      </c>
    </row>
    <row r="251" spans="1:10" x14ac:dyDescent="0.3">
      <c r="A251" t="s">
        <v>281</v>
      </c>
      <c r="B251" s="1">
        <v>43305</v>
      </c>
      <c r="C251" t="s">
        <v>34</v>
      </c>
      <c r="D251" t="s">
        <v>12</v>
      </c>
      <c r="E251">
        <v>8</v>
      </c>
      <c r="F251">
        <v>150</v>
      </c>
      <c r="G251">
        <v>1200</v>
      </c>
      <c r="H251">
        <v>0.09</v>
      </c>
      <c r="I251">
        <v>108</v>
      </c>
      <c r="J251" t="s">
        <v>22</v>
      </c>
    </row>
    <row r="252" spans="1:10" x14ac:dyDescent="0.3">
      <c r="A252" t="s">
        <v>282</v>
      </c>
      <c r="B252" s="1">
        <v>43305</v>
      </c>
      <c r="C252" t="s">
        <v>11</v>
      </c>
      <c r="D252" t="s">
        <v>16</v>
      </c>
      <c r="E252">
        <v>16</v>
      </c>
      <c r="F252">
        <v>80</v>
      </c>
      <c r="G252">
        <v>1280</v>
      </c>
      <c r="H252">
        <v>0.04</v>
      </c>
      <c r="I252">
        <v>51.2</v>
      </c>
      <c r="J252" t="s">
        <v>25</v>
      </c>
    </row>
    <row r="253" spans="1:10" x14ac:dyDescent="0.3">
      <c r="A253" t="s">
        <v>283</v>
      </c>
      <c r="B253" s="1">
        <v>43305</v>
      </c>
      <c r="C253" t="s">
        <v>19</v>
      </c>
      <c r="D253" t="s">
        <v>16</v>
      </c>
      <c r="E253">
        <v>14</v>
      </c>
      <c r="F253">
        <v>230</v>
      </c>
      <c r="G253">
        <v>3220</v>
      </c>
      <c r="H253">
        <v>0.05</v>
      </c>
      <c r="I253">
        <v>161</v>
      </c>
      <c r="J253" t="s">
        <v>28</v>
      </c>
    </row>
    <row r="254" spans="1:10" x14ac:dyDescent="0.3">
      <c r="A254" t="s">
        <v>284</v>
      </c>
      <c r="B254" s="1">
        <v>43305</v>
      </c>
      <c r="C254" t="s">
        <v>15</v>
      </c>
      <c r="D254" t="s">
        <v>24</v>
      </c>
      <c r="E254">
        <v>2</v>
      </c>
      <c r="F254">
        <v>40</v>
      </c>
      <c r="G254">
        <v>80</v>
      </c>
      <c r="H254">
        <v>0.03</v>
      </c>
      <c r="I254">
        <v>2.4</v>
      </c>
      <c r="J254" t="s">
        <v>32</v>
      </c>
    </row>
    <row r="255" spans="1:10" x14ac:dyDescent="0.3">
      <c r="A255" t="s">
        <v>285</v>
      </c>
      <c r="B255" s="1">
        <v>43305</v>
      </c>
      <c r="C255" t="s">
        <v>34</v>
      </c>
      <c r="D255" t="s">
        <v>12</v>
      </c>
      <c r="E255">
        <v>4</v>
      </c>
      <c r="F255">
        <v>150</v>
      </c>
      <c r="G255">
        <v>600</v>
      </c>
      <c r="H255">
        <v>0.1</v>
      </c>
      <c r="I255">
        <v>60</v>
      </c>
      <c r="J255" t="s">
        <v>35</v>
      </c>
    </row>
    <row r="256" spans="1:10" x14ac:dyDescent="0.3">
      <c r="A256" t="s">
        <v>286</v>
      </c>
      <c r="B256" s="1">
        <v>43305</v>
      </c>
      <c r="C256" t="s">
        <v>11</v>
      </c>
      <c r="D256" t="s">
        <v>24</v>
      </c>
      <c r="E256">
        <v>6</v>
      </c>
      <c r="F256">
        <v>80</v>
      </c>
      <c r="G256">
        <v>480</v>
      </c>
      <c r="H256">
        <v>0.01</v>
      </c>
      <c r="I256">
        <v>4.8</v>
      </c>
      <c r="J256" t="s">
        <v>37</v>
      </c>
    </row>
    <row r="257" spans="1:10" x14ac:dyDescent="0.3">
      <c r="A257" t="s">
        <v>287</v>
      </c>
      <c r="B257" s="1">
        <v>43305</v>
      </c>
      <c r="C257" t="s">
        <v>15</v>
      </c>
      <c r="D257" t="s">
        <v>24</v>
      </c>
      <c r="E257">
        <v>6</v>
      </c>
      <c r="F257">
        <v>40</v>
      </c>
      <c r="G257">
        <v>240</v>
      </c>
      <c r="H257">
        <v>0.06</v>
      </c>
      <c r="I257">
        <v>14.4</v>
      </c>
      <c r="J257" t="s">
        <v>39</v>
      </c>
    </row>
    <row r="258" spans="1:10" x14ac:dyDescent="0.3">
      <c r="A258" t="s">
        <v>288</v>
      </c>
      <c r="B258" s="1">
        <v>43305</v>
      </c>
      <c r="C258" t="s">
        <v>34</v>
      </c>
      <c r="D258" t="s">
        <v>12</v>
      </c>
      <c r="E258">
        <v>20</v>
      </c>
      <c r="F258">
        <v>150</v>
      </c>
      <c r="G258">
        <v>3000</v>
      </c>
      <c r="H258">
        <v>0.04</v>
      </c>
      <c r="I258">
        <v>120</v>
      </c>
      <c r="J258" t="s">
        <v>41</v>
      </c>
    </row>
    <row r="259" spans="1:10" x14ac:dyDescent="0.3">
      <c r="A259" t="s">
        <v>289</v>
      </c>
      <c r="B259" s="1">
        <v>43305</v>
      </c>
      <c r="C259" t="s">
        <v>15</v>
      </c>
      <c r="D259" t="s">
        <v>24</v>
      </c>
      <c r="E259">
        <v>18</v>
      </c>
      <c r="F259">
        <v>40</v>
      </c>
      <c r="G259">
        <v>720</v>
      </c>
      <c r="H259">
        <v>0.03</v>
      </c>
      <c r="I259">
        <v>21.6</v>
      </c>
      <c r="J259" t="s">
        <v>43</v>
      </c>
    </row>
    <row r="260" spans="1:10" x14ac:dyDescent="0.3">
      <c r="A260" t="s">
        <v>290</v>
      </c>
      <c r="B260" s="1">
        <v>43305</v>
      </c>
      <c r="C260" t="s">
        <v>19</v>
      </c>
      <c r="D260" t="s">
        <v>27</v>
      </c>
      <c r="E260">
        <v>18</v>
      </c>
      <c r="F260">
        <v>230</v>
      </c>
      <c r="G260">
        <v>4140</v>
      </c>
      <c r="H260">
        <v>0.01</v>
      </c>
      <c r="I260">
        <v>41.4</v>
      </c>
      <c r="J260" t="s">
        <v>13</v>
      </c>
    </row>
    <row r="261" spans="1:10" x14ac:dyDescent="0.3">
      <c r="A261" t="s">
        <v>291</v>
      </c>
      <c r="B261" s="1">
        <v>43305</v>
      </c>
      <c r="C261" t="s">
        <v>19</v>
      </c>
      <c r="D261" t="s">
        <v>24</v>
      </c>
      <c r="E261">
        <v>15</v>
      </c>
      <c r="F261">
        <v>230</v>
      </c>
      <c r="G261">
        <v>3450</v>
      </c>
      <c r="H261">
        <v>0.04</v>
      </c>
      <c r="I261">
        <v>138</v>
      </c>
      <c r="J261" t="s">
        <v>17</v>
      </c>
    </row>
    <row r="262" spans="1:10" x14ac:dyDescent="0.3">
      <c r="A262" t="s">
        <v>292</v>
      </c>
      <c r="B262" s="1">
        <v>43305</v>
      </c>
      <c r="C262" t="s">
        <v>30</v>
      </c>
      <c r="D262" t="s">
        <v>16</v>
      </c>
      <c r="E262">
        <v>22</v>
      </c>
      <c r="F262">
        <v>16</v>
      </c>
      <c r="G262">
        <v>352</v>
      </c>
      <c r="H262">
        <v>0.01</v>
      </c>
      <c r="I262">
        <v>3.52</v>
      </c>
      <c r="J262" t="s">
        <v>20</v>
      </c>
    </row>
    <row r="263" spans="1:10" x14ac:dyDescent="0.3">
      <c r="A263" t="s">
        <v>293</v>
      </c>
      <c r="B263" s="1">
        <v>43305</v>
      </c>
      <c r="C263" t="s">
        <v>34</v>
      </c>
      <c r="D263" t="s">
        <v>12</v>
      </c>
      <c r="E263">
        <v>17</v>
      </c>
      <c r="F263">
        <v>150</v>
      </c>
      <c r="G263">
        <v>2550</v>
      </c>
      <c r="H263">
        <v>0.12</v>
      </c>
      <c r="I263">
        <v>306</v>
      </c>
      <c r="J263" t="s">
        <v>22</v>
      </c>
    </row>
    <row r="264" spans="1:10" x14ac:dyDescent="0.3">
      <c r="A264" t="s">
        <v>294</v>
      </c>
      <c r="B264" s="1">
        <v>43306</v>
      </c>
      <c r="C264" t="s">
        <v>30</v>
      </c>
      <c r="D264" t="s">
        <v>16</v>
      </c>
      <c r="E264">
        <v>5</v>
      </c>
      <c r="F264">
        <v>16</v>
      </c>
      <c r="G264">
        <v>80</v>
      </c>
      <c r="H264">
        <v>0.11</v>
      </c>
      <c r="I264">
        <v>8.8000000000000007</v>
      </c>
      <c r="J264" t="s">
        <v>25</v>
      </c>
    </row>
    <row r="265" spans="1:10" x14ac:dyDescent="0.3">
      <c r="A265" t="s">
        <v>295</v>
      </c>
      <c r="B265" s="1">
        <v>43306</v>
      </c>
      <c r="C265" t="s">
        <v>34</v>
      </c>
      <c r="D265" t="s">
        <v>12</v>
      </c>
      <c r="E265">
        <v>23</v>
      </c>
      <c r="F265">
        <v>150</v>
      </c>
      <c r="G265">
        <v>3450</v>
      </c>
      <c r="H265">
        <v>0.1</v>
      </c>
      <c r="I265">
        <v>345</v>
      </c>
      <c r="J265" t="s">
        <v>28</v>
      </c>
    </row>
    <row r="266" spans="1:10" x14ac:dyDescent="0.3">
      <c r="A266" t="s">
        <v>296</v>
      </c>
      <c r="B266" s="1">
        <v>43306</v>
      </c>
      <c r="C266" t="s">
        <v>34</v>
      </c>
      <c r="D266" t="s">
        <v>27</v>
      </c>
      <c r="E266">
        <v>22</v>
      </c>
      <c r="F266">
        <v>150</v>
      </c>
      <c r="G266">
        <v>3300</v>
      </c>
      <c r="H266">
        <v>0.05</v>
      </c>
      <c r="I266">
        <v>165</v>
      </c>
      <c r="J266" t="s">
        <v>32</v>
      </c>
    </row>
    <row r="267" spans="1:10" x14ac:dyDescent="0.3">
      <c r="A267" t="s">
        <v>297</v>
      </c>
      <c r="B267" s="1">
        <v>43306</v>
      </c>
      <c r="C267" t="s">
        <v>30</v>
      </c>
      <c r="D267" t="s">
        <v>31</v>
      </c>
      <c r="E267">
        <v>15</v>
      </c>
      <c r="F267">
        <v>16</v>
      </c>
      <c r="G267">
        <v>240</v>
      </c>
      <c r="H267">
        <v>0.01</v>
      </c>
      <c r="I267">
        <v>2.4</v>
      </c>
      <c r="J267" t="s">
        <v>35</v>
      </c>
    </row>
    <row r="268" spans="1:10" x14ac:dyDescent="0.3">
      <c r="A268" t="s">
        <v>298</v>
      </c>
      <c r="B268" s="1">
        <v>43306</v>
      </c>
      <c r="C268" t="s">
        <v>15</v>
      </c>
      <c r="D268" t="s">
        <v>27</v>
      </c>
      <c r="E268">
        <v>7</v>
      </c>
      <c r="F268">
        <v>40</v>
      </c>
      <c r="G268">
        <v>280</v>
      </c>
      <c r="H268">
        <v>7.0000000000000007E-2</v>
      </c>
      <c r="I268">
        <v>19.600000000000001</v>
      </c>
      <c r="J268" t="s">
        <v>37</v>
      </c>
    </row>
    <row r="269" spans="1:10" x14ac:dyDescent="0.3">
      <c r="A269" t="s">
        <v>299</v>
      </c>
      <c r="B269" s="1">
        <v>43306</v>
      </c>
      <c r="C269" t="s">
        <v>11</v>
      </c>
      <c r="D269" t="s">
        <v>31</v>
      </c>
      <c r="E269">
        <v>22</v>
      </c>
      <c r="F269">
        <v>80</v>
      </c>
      <c r="G269">
        <v>1760</v>
      </c>
      <c r="H269">
        <v>0.11</v>
      </c>
      <c r="I269">
        <v>193.6</v>
      </c>
      <c r="J269" t="s">
        <v>39</v>
      </c>
    </row>
    <row r="270" spans="1:10" x14ac:dyDescent="0.3">
      <c r="A270" t="s">
        <v>300</v>
      </c>
      <c r="B270" s="1">
        <v>43306</v>
      </c>
      <c r="C270" t="s">
        <v>34</v>
      </c>
      <c r="D270" t="s">
        <v>24</v>
      </c>
      <c r="E270">
        <v>11</v>
      </c>
      <c r="F270">
        <v>150</v>
      </c>
      <c r="G270">
        <v>1650</v>
      </c>
      <c r="H270">
        <v>0.05</v>
      </c>
      <c r="I270">
        <v>82.5</v>
      </c>
      <c r="J270" t="s">
        <v>41</v>
      </c>
    </row>
    <row r="271" spans="1:10" x14ac:dyDescent="0.3">
      <c r="A271" t="s">
        <v>301</v>
      </c>
      <c r="B271" s="1">
        <v>43306</v>
      </c>
      <c r="C271" t="s">
        <v>15</v>
      </c>
      <c r="D271" t="s">
        <v>16</v>
      </c>
      <c r="E271">
        <v>21</v>
      </c>
      <c r="F271">
        <v>40</v>
      </c>
      <c r="G271">
        <v>840</v>
      </c>
      <c r="H271">
        <v>0.03</v>
      </c>
      <c r="I271">
        <v>25.2</v>
      </c>
      <c r="J271" t="s">
        <v>43</v>
      </c>
    </row>
    <row r="272" spans="1:10" x14ac:dyDescent="0.3">
      <c r="A272" t="s">
        <v>302</v>
      </c>
      <c r="B272" s="1">
        <v>43306</v>
      </c>
      <c r="C272" t="s">
        <v>11</v>
      </c>
      <c r="D272" t="s">
        <v>27</v>
      </c>
      <c r="E272">
        <v>23</v>
      </c>
      <c r="F272">
        <v>80</v>
      </c>
      <c r="G272">
        <v>1840</v>
      </c>
      <c r="H272">
        <v>0.11</v>
      </c>
      <c r="I272">
        <v>202.4</v>
      </c>
      <c r="J272" t="s">
        <v>13</v>
      </c>
    </row>
    <row r="273" spans="1:10" x14ac:dyDescent="0.3">
      <c r="A273" t="s">
        <v>303</v>
      </c>
      <c r="B273" s="1">
        <v>43306</v>
      </c>
      <c r="C273" t="s">
        <v>19</v>
      </c>
      <c r="D273" t="s">
        <v>24</v>
      </c>
      <c r="E273">
        <v>7</v>
      </c>
      <c r="F273">
        <v>230</v>
      </c>
      <c r="G273">
        <v>1610</v>
      </c>
      <c r="H273">
        <v>0.01</v>
      </c>
      <c r="I273">
        <v>16.100000000000001</v>
      </c>
      <c r="J273" t="s">
        <v>17</v>
      </c>
    </row>
    <row r="274" spans="1:10" x14ac:dyDescent="0.3">
      <c r="A274" t="s">
        <v>304</v>
      </c>
      <c r="B274" s="1">
        <v>43306</v>
      </c>
      <c r="C274" t="s">
        <v>19</v>
      </c>
      <c r="D274" t="s">
        <v>12</v>
      </c>
      <c r="E274">
        <v>16</v>
      </c>
      <c r="F274">
        <v>230</v>
      </c>
      <c r="G274">
        <v>3680</v>
      </c>
      <c r="H274">
        <v>7.0000000000000007E-2</v>
      </c>
      <c r="I274">
        <v>257.60000000000002</v>
      </c>
      <c r="J274" t="s">
        <v>20</v>
      </c>
    </row>
    <row r="275" spans="1:10" x14ac:dyDescent="0.3">
      <c r="A275" t="s">
        <v>305</v>
      </c>
      <c r="B275" s="1">
        <v>43306</v>
      </c>
      <c r="C275" t="s">
        <v>11</v>
      </c>
      <c r="D275" t="s">
        <v>16</v>
      </c>
      <c r="E275">
        <v>14</v>
      </c>
      <c r="F275">
        <v>80</v>
      </c>
      <c r="G275">
        <v>1120</v>
      </c>
      <c r="H275">
        <v>0.11</v>
      </c>
      <c r="I275">
        <v>123.2</v>
      </c>
      <c r="J275" t="s">
        <v>22</v>
      </c>
    </row>
    <row r="276" spans="1:10" x14ac:dyDescent="0.3">
      <c r="A276" t="s">
        <v>306</v>
      </c>
      <c r="B276" s="1">
        <v>43306</v>
      </c>
      <c r="C276" t="s">
        <v>34</v>
      </c>
      <c r="D276" t="s">
        <v>24</v>
      </c>
      <c r="E276">
        <v>22</v>
      </c>
      <c r="F276">
        <v>150</v>
      </c>
      <c r="G276">
        <v>3300</v>
      </c>
      <c r="H276">
        <v>0.09</v>
      </c>
      <c r="I276">
        <v>297</v>
      </c>
      <c r="J276" t="s">
        <v>25</v>
      </c>
    </row>
    <row r="277" spans="1:10" x14ac:dyDescent="0.3">
      <c r="A277" t="s">
        <v>307</v>
      </c>
      <c r="B277" s="1">
        <v>43306</v>
      </c>
      <c r="C277" t="s">
        <v>34</v>
      </c>
      <c r="D277" t="s">
        <v>27</v>
      </c>
      <c r="E277">
        <v>4</v>
      </c>
      <c r="F277">
        <v>150</v>
      </c>
      <c r="G277">
        <v>600</v>
      </c>
      <c r="H277">
        <v>0.12</v>
      </c>
      <c r="I277">
        <v>72</v>
      </c>
      <c r="J277" t="s">
        <v>28</v>
      </c>
    </row>
    <row r="278" spans="1:10" x14ac:dyDescent="0.3">
      <c r="A278" t="s">
        <v>308</v>
      </c>
      <c r="B278" s="1">
        <v>43306</v>
      </c>
      <c r="C278" t="s">
        <v>34</v>
      </c>
      <c r="D278" t="s">
        <v>12</v>
      </c>
      <c r="E278">
        <v>3</v>
      </c>
      <c r="F278">
        <v>150</v>
      </c>
      <c r="G278">
        <v>450</v>
      </c>
      <c r="H278">
        <v>0.03</v>
      </c>
      <c r="I278">
        <v>13.5</v>
      </c>
      <c r="J278" t="s">
        <v>32</v>
      </c>
    </row>
    <row r="279" spans="1:10" x14ac:dyDescent="0.3">
      <c r="A279" t="s">
        <v>309</v>
      </c>
      <c r="B279" s="1">
        <v>43306</v>
      </c>
      <c r="C279" t="s">
        <v>15</v>
      </c>
      <c r="D279" t="s">
        <v>31</v>
      </c>
      <c r="E279">
        <v>17</v>
      </c>
      <c r="F279">
        <v>40</v>
      </c>
      <c r="G279">
        <v>680</v>
      </c>
      <c r="H279">
        <v>0.02</v>
      </c>
      <c r="I279">
        <v>13.6</v>
      </c>
      <c r="J279" t="s">
        <v>35</v>
      </c>
    </row>
    <row r="280" spans="1:10" x14ac:dyDescent="0.3">
      <c r="A280" t="s">
        <v>310</v>
      </c>
      <c r="B280" s="1">
        <v>43306</v>
      </c>
      <c r="C280" t="s">
        <v>11</v>
      </c>
      <c r="D280" t="s">
        <v>31</v>
      </c>
      <c r="E280">
        <v>22</v>
      </c>
      <c r="F280">
        <v>80</v>
      </c>
      <c r="G280">
        <v>1760</v>
      </c>
      <c r="H280">
        <v>0.1</v>
      </c>
      <c r="I280">
        <v>176</v>
      </c>
      <c r="J280" t="s">
        <v>37</v>
      </c>
    </row>
    <row r="281" spans="1:10" x14ac:dyDescent="0.3">
      <c r="A281" t="s">
        <v>311</v>
      </c>
      <c r="B281" s="1">
        <v>43306</v>
      </c>
      <c r="C281" t="s">
        <v>34</v>
      </c>
      <c r="D281" t="s">
        <v>31</v>
      </c>
      <c r="E281">
        <v>18</v>
      </c>
      <c r="F281">
        <v>150</v>
      </c>
      <c r="G281">
        <v>2700</v>
      </c>
      <c r="H281">
        <v>0.12</v>
      </c>
      <c r="I281">
        <v>324</v>
      </c>
      <c r="J281" t="s">
        <v>39</v>
      </c>
    </row>
    <row r="282" spans="1:10" x14ac:dyDescent="0.3">
      <c r="A282" t="s">
        <v>312</v>
      </c>
      <c r="B282" s="1">
        <v>43307</v>
      </c>
      <c r="C282" t="s">
        <v>34</v>
      </c>
      <c r="D282" t="s">
        <v>12</v>
      </c>
      <c r="E282">
        <v>4</v>
      </c>
      <c r="F282">
        <v>150</v>
      </c>
      <c r="G282">
        <v>600</v>
      </c>
      <c r="H282">
        <v>0.06</v>
      </c>
      <c r="I282">
        <v>36</v>
      </c>
      <c r="J282" t="s">
        <v>13</v>
      </c>
    </row>
    <row r="283" spans="1:10" x14ac:dyDescent="0.3">
      <c r="A283" t="s">
        <v>313</v>
      </c>
      <c r="B283" s="1">
        <v>43307</v>
      </c>
      <c r="C283" t="s">
        <v>19</v>
      </c>
      <c r="D283" t="s">
        <v>16</v>
      </c>
      <c r="E283">
        <v>22</v>
      </c>
      <c r="F283">
        <v>230</v>
      </c>
      <c r="G283">
        <v>5060</v>
      </c>
      <c r="H283">
        <v>0.04</v>
      </c>
      <c r="I283">
        <v>202.4</v>
      </c>
      <c r="J283" t="s">
        <v>17</v>
      </c>
    </row>
    <row r="284" spans="1:10" x14ac:dyDescent="0.3">
      <c r="A284" t="s">
        <v>314</v>
      </c>
      <c r="B284" s="1">
        <v>43307</v>
      </c>
      <c r="C284" t="s">
        <v>34</v>
      </c>
      <c r="D284" t="s">
        <v>16</v>
      </c>
      <c r="E284">
        <v>15</v>
      </c>
      <c r="F284">
        <v>150</v>
      </c>
      <c r="G284">
        <v>2250</v>
      </c>
      <c r="H284">
        <v>0.12</v>
      </c>
      <c r="I284">
        <v>270</v>
      </c>
      <c r="J284" t="s">
        <v>20</v>
      </c>
    </row>
    <row r="285" spans="1:10" x14ac:dyDescent="0.3">
      <c r="A285" t="s">
        <v>315</v>
      </c>
      <c r="B285" s="1">
        <v>43307</v>
      </c>
      <c r="C285" t="s">
        <v>11</v>
      </c>
      <c r="D285" t="s">
        <v>12</v>
      </c>
      <c r="E285">
        <v>17</v>
      </c>
      <c r="F285">
        <v>80</v>
      </c>
      <c r="G285">
        <v>1360</v>
      </c>
      <c r="H285">
        <v>7.0000000000000007E-2</v>
      </c>
      <c r="I285">
        <v>95.2</v>
      </c>
      <c r="J285" t="s">
        <v>22</v>
      </c>
    </row>
    <row r="286" spans="1:10" x14ac:dyDescent="0.3">
      <c r="A286" t="s">
        <v>316</v>
      </c>
      <c r="B286" s="1">
        <v>43307</v>
      </c>
      <c r="C286" t="s">
        <v>15</v>
      </c>
      <c r="D286" t="s">
        <v>31</v>
      </c>
      <c r="E286">
        <v>10</v>
      </c>
      <c r="F286">
        <v>40</v>
      </c>
      <c r="G286">
        <v>400</v>
      </c>
      <c r="H286">
        <v>0.03</v>
      </c>
      <c r="I286">
        <v>12</v>
      </c>
      <c r="J286" t="s">
        <v>25</v>
      </c>
    </row>
    <row r="287" spans="1:10" x14ac:dyDescent="0.3">
      <c r="A287" t="s">
        <v>317</v>
      </c>
      <c r="B287" s="1">
        <v>43307</v>
      </c>
      <c r="C287" t="s">
        <v>15</v>
      </c>
      <c r="D287" t="s">
        <v>12</v>
      </c>
      <c r="E287">
        <v>23</v>
      </c>
      <c r="F287">
        <v>40</v>
      </c>
      <c r="G287">
        <v>920</v>
      </c>
      <c r="H287">
        <v>7.0000000000000007E-2</v>
      </c>
      <c r="I287">
        <v>64.400000000000006</v>
      </c>
      <c r="J287" t="s">
        <v>28</v>
      </c>
    </row>
    <row r="288" spans="1:10" x14ac:dyDescent="0.3">
      <c r="A288" t="s">
        <v>318</v>
      </c>
      <c r="B288" s="1">
        <v>43307</v>
      </c>
      <c r="C288" t="s">
        <v>30</v>
      </c>
      <c r="D288" t="s">
        <v>16</v>
      </c>
      <c r="E288">
        <v>22</v>
      </c>
      <c r="F288">
        <v>16</v>
      </c>
      <c r="G288">
        <v>352</v>
      </c>
      <c r="H288">
        <v>0.04</v>
      </c>
      <c r="I288">
        <v>14.08</v>
      </c>
      <c r="J288" t="s">
        <v>32</v>
      </c>
    </row>
    <row r="289" spans="1:10" x14ac:dyDescent="0.3">
      <c r="A289" t="s">
        <v>319</v>
      </c>
      <c r="B289" s="1">
        <v>43307</v>
      </c>
      <c r="C289" t="s">
        <v>11</v>
      </c>
      <c r="D289" t="s">
        <v>24</v>
      </c>
      <c r="E289">
        <v>8</v>
      </c>
      <c r="F289">
        <v>80</v>
      </c>
      <c r="G289">
        <v>640</v>
      </c>
      <c r="H289">
        <v>0.02</v>
      </c>
      <c r="I289">
        <v>12.8</v>
      </c>
      <c r="J289" t="s">
        <v>35</v>
      </c>
    </row>
    <row r="290" spans="1:10" x14ac:dyDescent="0.3">
      <c r="A290" t="s">
        <v>320</v>
      </c>
      <c r="B290" s="1">
        <v>43307</v>
      </c>
      <c r="C290" t="s">
        <v>30</v>
      </c>
      <c r="D290" t="s">
        <v>16</v>
      </c>
      <c r="E290">
        <v>4</v>
      </c>
      <c r="F290">
        <v>16</v>
      </c>
      <c r="G290">
        <v>64</v>
      </c>
      <c r="H290">
        <v>0.09</v>
      </c>
      <c r="I290">
        <v>5.76</v>
      </c>
      <c r="J290" t="s">
        <v>37</v>
      </c>
    </row>
    <row r="291" spans="1:10" x14ac:dyDescent="0.3">
      <c r="A291" t="s">
        <v>321</v>
      </c>
      <c r="B291" s="1">
        <v>43307</v>
      </c>
      <c r="C291" t="s">
        <v>15</v>
      </c>
      <c r="D291" t="s">
        <v>27</v>
      </c>
      <c r="E291">
        <v>11</v>
      </c>
      <c r="F291">
        <v>40</v>
      </c>
      <c r="G291">
        <v>440</v>
      </c>
      <c r="H291">
        <v>0.09</v>
      </c>
      <c r="I291">
        <v>39.6</v>
      </c>
      <c r="J291" t="s">
        <v>39</v>
      </c>
    </row>
    <row r="292" spans="1:10" x14ac:dyDescent="0.3">
      <c r="A292" t="s">
        <v>322</v>
      </c>
      <c r="B292" s="1">
        <v>43307</v>
      </c>
      <c r="C292" t="s">
        <v>19</v>
      </c>
      <c r="D292" t="s">
        <v>24</v>
      </c>
      <c r="E292">
        <v>18</v>
      </c>
      <c r="F292">
        <v>230</v>
      </c>
      <c r="G292">
        <v>4140</v>
      </c>
      <c r="H292">
        <v>0.01</v>
      </c>
      <c r="I292">
        <v>41.4</v>
      </c>
      <c r="J292" t="s">
        <v>41</v>
      </c>
    </row>
    <row r="293" spans="1:10" x14ac:dyDescent="0.3">
      <c r="A293" t="s">
        <v>323</v>
      </c>
      <c r="B293" s="1">
        <v>43308</v>
      </c>
      <c r="C293" t="s">
        <v>19</v>
      </c>
      <c r="D293" t="s">
        <v>16</v>
      </c>
      <c r="E293">
        <v>11</v>
      </c>
      <c r="F293">
        <v>230</v>
      </c>
      <c r="G293">
        <v>2530</v>
      </c>
      <c r="H293">
        <v>0.1</v>
      </c>
      <c r="I293">
        <v>253</v>
      </c>
      <c r="J293" t="s">
        <v>43</v>
      </c>
    </row>
    <row r="294" spans="1:10" x14ac:dyDescent="0.3">
      <c r="A294" t="s">
        <v>324</v>
      </c>
      <c r="B294" s="1">
        <v>43308</v>
      </c>
      <c r="C294" t="s">
        <v>19</v>
      </c>
      <c r="D294" t="s">
        <v>12</v>
      </c>
      <c r="E294">
        <v>15</v>
      </c>
      <c r="F294">
        <v>230</v>
      </c>
      <c r="G294">
        <v>3450</v>
      </c>
      <c r="H294">
        <v>0.05</v>
      </c>
      <c r="I294">
        <v>172.5</v>
      </c>
      <c r="J294" t="s">
        <v>13</v>
      </c>
    </row>
    <row r="295" spans="1:10" x14ac:dyDescent="0.3">
      <c r="A295" t="s">
        <v>325</v>
      </c>
      <c r="B295" s="1">
        <v>43308</v>
      </c>
      <c r="C295" t="s">
        <v>15</v>
      </c>
      <c r="D295" t="s">
        <v>31</v>
      </c>
      <c r="E295">
        <v>7</v>
      </c>
      <c r="F295">
        <v>40</v>
      </c>
      <c r="G295">
        <v>280</v>
      </c>
      <c r="H295">
        <v>0.04</v>
      </c>
      <c r="I295">
        <v>11.2</v>
      </c>
      <c r="J295" t="s">
        <v>17</v>
      </c>
    </row>
    <row r="296" spans="1:10" x14ac:dyDescent="0.3">
      <c r="A296" t="s">
        <v>326</v>
      </c>
      <c r="B296" s="1">
        <v>43308</v>
      </c>
      <c r="C296" t="s">
        <v>34</v>
      </c>
      <c r="D296" t="s">
        <v>24</v>
      </c>
      <c r="E296">
        <v>20</v>
      </c>
      <c r="F296">
        <v>150</v>
      </c>
      <c r="G296">
        <v>3000</v>
      </c>
      <c r="H296">
        <v>0.12</v>
      </c>
      <c r="I296">
        <v>360</v>
      </c>
      <c r="J296" t="s">
        <v>20</v>
      </c>
    </row>
    <row r="297" spans="1:10" x14ac:dyDescent="0.3">
      <c r="A297" t="s">
        <v>327</v>
      </c>
      <c r="B297" s="1">
        <v>43308</v>
      </c>
      <c r="C297" t="s">
        <v>11</v>
      </c>
      <c r="D297" t="s">
        <v>24</v>
      </c>
      <c r="E297">
        <v>5</v>
      </c>
      <c r="F297">
        <v>80</v>
      </c>
      <c r="G297">
        <v>400</v>
      </c>
      <c r="H297">
        <v>0.09</v>
      </c>
      <c r="I297">
        <v>36</v>
      </c>
      <c r="J297" t="s">
        <v>22</v>
      </c>
    </row>
    <row r="298" spans="1:10" x14ac:dyDescent="0.3">
      <c r="A298" t="s">
        <v>328</v>
      </c>
      <c r="B298" s="1">
        <v>43308</v>
      </c>
      <c r="C298" t="s">
        <v>11</v>
      </c>
      <c r="D298" t="s">
        <v>27</v>
      </c>
      <c r="E298">
        <v>14</v>
      </c>
      <c r="F298">
        <v>80</v>
      </c>
      <c r="G298">
        <v>1120</v>
      </c>
      <c r="H298">
        <v>0.05</v>
      </c>
      <c r="I298">
        <v>56</v>
      </c>
      <c r="J298" t="s">
        <v>25</v>
      </c>
    </row>
    <row r="299" spans="1:10" x14ac:dyDescent="0.3">
      <c r="A299" t="s">
        <v>329</v>
      </c>
      <c r="B299" s="1">
        <v>43308</v>
      </c>
      <c r="C299" t="s">
        <v>19</v>
      </c>
      <c r="D299" t="s">
        <v>27</v>
      </c>
      <c r="E299">
        <v>7</v>
      </c>
      <c r="F299">
        <v>230</v>
      </c>
      <c r="G299">
        <v>1610</v>
      </c>
      <c r="H299">
        <v>0.06</v>
      </c>
      <c r="I299">
        <v>96.6</v>
      </c>
      <c r="J299" t="s">
        <v>28</v>
      </c>
    </row>
    <row r="300" spans="1:10" x14ac:dyDescent="0.3">
      <c r="A300" t="s">
        <v>330</v>
      </c>
      <c r="B300" s="1">
        <v>43308</v>
      </c>
      <c r="C300" t="s">
        <v>15</v>
      </c>
      <c r="D300" t="s">
        <v>27</v>
      </c>
      <c r="E300">
        <v>13</v>
      </c>
      <c r="F300">
        <v>40</v>
      </c>
      <c r="G300">
        <v>520</v>
      </c>
      <c r="H300">
        <v>0.06</v>
      </c>
      <c r="I300">
        <v>31.2</v>
      </c>
      <c r="J300" t="s">
        <v>32</v>
      </c>
    </row>
    <row r="301" spans="1:10" x14ac:dyDescent="0.3">
      <c r="A301" t="s">
        <v>331</v>
      </c>
      <c r="B301" s="1">
        <v>43309</v>
      </c>
      <c r="C301" t="s">
        <v>30</v>
      </c>
      <c r="D301" t="s">
        <v>16</v>
      </c>
      <c r="E301">
        <v>15</v>
      </c>
      <c r="F301">
        <v>16</v>
      </c>
      <c r="G301">
        <v>240</v>
      </c>
      <c r="H301">
        <v>0.02</v>
      </c>
      <c r="I301">
        <v>4.8</v>
      </c>
      <c r="J301" t="s">
        <v>35</v>
      </c>
    </row>
    <row r="302" spans="1:10" x14ac:dyDescent="0.3">
      <c r="A302" t="s">
        <v>332</v>
      </c>
      <c r="B302" s="1">
        <v>43309</v>
      </c>
      <c r="C302" t="s">
        <v>30</v>
      </c>
      <c r="D302" t="s">
        <v>27</v>
      </c>
      <c r="E302">
        <v>5</v>
      </c>
      <c r="F302">
        <v>16</v>
      </c>
      <c r="G302">
        <v>80</v>
      </c>
      <c r="H302">
        <v>0.09</v>
      </c>
      <c r="I302">
        <v>7.2</v>
      </c>
      <c r="J302" t="s">
        <v>37</v>
      </c>
    </row>
    <row r="303" spans="1:10" x14ac:dyDescent="0.3">
      <c r="A303" t="s">
        <v>333</v>
      </c>
      <c r="B303" s="1">
        <v>43309</v>
      </c>
      <c r="C303" t="s">
        <v>30</v>
      </c>
      <c r="D303" t="s">
        <v>12</v>
      </c>
      <c r="E303">
        <v>22</v>
      </c>
      <c r="F303">
        <v>16</v>
      </c>
      <c r="G303">
        <v>352</v>
      </c>
      <c r="H303">
        <v>0.06</v>
      </c>
      <c r="I303">
        <v>21.12</v>
      </c>
      <c r="J303" t="s">
        <v>39</v>
      </c>
    </row>
    <row r="304" spans="1:10" x14ac:dyDescent="0.3">
      <c r="A304" t="s">
        <v>334</v>
      </c>
      <c r="B304" s="1">
        <v>43309</v>
      </c>
      <c r="C304" t="s">
        <v>34</v>
      </c>
      <c r="D304" t="s">
        <v>24</v>
      </c>
      <c r="E304">
        <v>15</v>
      </c>
      <c r="F304">
        <v>150</v>
      </c>
      <c r="G304">
        <v>2250</v>
      </c>
      <c r="H304">
        <v>0.05</v>
      </c>
      <c r="I304">
        <v>112.5</v>
      </c>
      <c r="J304" t="s">
        <v>41</v>
      </c>
    </row>
    <row r="305" spans="1:10" x14ac:dyDescent="0.3">
      <c r="A305" t="s">
        <v>335</v>
      </c>
      <c r="B305" s="1">
        <v>43309</v>
      </c>
      <c r="C305" t="s">
        <v>19</v>
      </c>
      <c r="D305" t="s">
        <v>24</v>
      </c>
      <c r="E305">
        <v>5</v>
      </c>
      <c r="F305">
        <v>230</v>
      </c>
      <c r="G305">
        <v>1150</v>
      </c>
      <c r="H305">
        <v>0.01</v>
      </c>
      <c r="I305">
        <v>11.5</v>
      </c>
      <c r="J305" t="s">
        <v>43</v>
      </c>
    </row>
    <row r="306" spans="1:10" x14ac:dyDescent="0.3">
      <c r="A306" t="s">
        <v>336</v>
      </c>
      <c r="B306" s="1">
        <v>43309</v>
      </c>
      <c r="C306" t="s">
        <v>15</v>
      </c>
      <c r="D306" t="s">
        <v>12</v>
      </c>
      <c r="E306">
        <v>11</v>
      </c>
      <c r="F306">
        <v>40</v>
      </c>
      <c r="G306">
        <v>440</v>
      </c>
      <c r="H306">
        <v>0.04</v>
      </c>
      <c r="I306">
        <v>17.600000000000001</v>
      </c>
      <c r="J306" t="s">
        <v>13</v>
      </c>
    </row>
    <row r="307" spans="1:10" x14ac:dyDescent="0.3">
      <c r="A307" t="s">
        <v>337</v>
      </c>
      <c r="B307" s="1">
        <v>43309</v>
      </c>
      <c r="C307" t="s">
        <v>34</v>
      </c>
      <c r="D307" t="s">
        <v>16</v>
      </c>
      <c r="E307">
        <v>13</v>
      </c>
      <c r="F307">
        <v>150</v>
      </c>
      <c r="G307">
        <v>1950</v>
      </c>
      <c r="H307">
        <v>0.08</v>
      </c>
      <c r="I307">
        <v>156</v>
      </c>
      <c r="J307" t="s">
        <v>17</v>
      </c>
    </row>
    <row r="308" spans="1:10" x14ac:dyDescent="0.3">
      <c r="A308" t="s">
        <v>338</v>
      </c>
      <c r="B308" s="1">
        <v>43309</v>
      </c>
      <c r="C308" t="s">
        <v>30</v>
      </c>
      <c r="D308" t="s">
        <v>31</v>
      </c>
      <c r="E308">
        <v>13</v>
      </c>
      <c r="F308">
        <v>16</v>
      </c>
      <c r="G308">
        <v>208</v>
      </c>
      <c r="H308">
        <v>7.0000000000000007E-2</v>
      </c>
      <c r="I308">
        <v>14.56</v>
      </c>
      <c r="J308" t="s">
        <v>20</v>
      </c>
    </row>
    <row r="309" spans="1:10" x14ac:dyDescent="0.3">
      <c r="A309" t="s">
        <v>339</v>
      </c>
      <c r="B309" s="1">
        <v>43309</v>
      </c>
      <c r="C309" t="s">
        <v>30</v>
      </c>
      <c r="D309" t="s">
        <v>31</v>
      </c>
      <c r="E309">
        <v>3</v>
      </c>
      <c r="F309">
        <v>16</v>
      </c>
      <c r="G309">
        <v>48</v>
      </c>
      <c r="H309">
        <v>0.03</v>
      </c>
      <c r="I309">
        <v>1.44</v>
      </c>
      <c r="J309" t="s">
        <v>22</v>
      </c>
    </row>
    <row r="310" spans="1:10" x14ac:dyDescent="0.3">
      <c r="A310" t="s">
        <v>340</v>
      </c>
      <c r="B310" s="1">
        <v>43310</v>
      </c>
      <c r="C310" t="s">
        <v>34</v>
      </c>
      <c r="D310" t="s">
        <v>16</v>
      </c>
      <c r="E310">
        <v>2</v>
      </c>
      <c r="F310">
        <v>150</v>
      </c>
      <c r="G310">
        <v>300</v>
      </c>
      <c r="H310">
        <v>0.09</v>
      </c>
      <c r="I310">
        <v>27</v>
      </c>
      <c r="J310" t="s">
        <v>25</v>
      </c>
    </row>
    <row r="311" spans="1:10" x14ac:dyDescent="0.3">
      <c r="A311" t="s">
        <v>341</v>
      </c>
      <c r="B311" s="1">
        <v>43310</v>
      </c>
      <c r="C311" t="s">
        <v>19</v>
      </c>
      <c r="D311" t="s">
        <v>24</v>
      </c>
      <c r="E311">
        <v>14</v>
      </c>
      <c r="F311">
        <v>230</v>
      </c>
      <c r="G311">
        <v>3220</v>
      </c>
      <c r="H311">
        <v>0.03</v>
      </c>
      <c r="I311">
        <v>96.6</v>
      </c>
      <c r="J311" t="s">
        <v>28</v>
      </c>
    </row>
    <row r="312" spans="1:10" x14ac:dyDescent="0.3">
      <c r="A312" t="s">
        <v>342</v>
      </c>
      <c r="B312" s="1">
        <v>43310</v>
      </c>
      <c r="C312" t="s">
        <v>15</v>
      </c>
      <c r="D312" t="s">
        <v>24</v>
      </c>
      <c r="E312">
        <v>11</v>
      </c>
      <c r="F312">
        <v>40</v>
      </c>
      <c r="G312">
        <v>440</v>
      </c>
      <c r="H312">
        <v>0.12</v>
      </c>
      <c r="I312">
        <v>52.8</v>
      </c>
      <c r="J312" t="s">
        <v>32</v>
      </c>
    </row>
    <row r="313" spans="1:10" x14ac:dyDescent="0.3">
      <c r="A313" t="s">
        <v>343</v>
      </c>
      <c r="B313" s="1">
        <v>43310</v>
      </c>
      <c r="C313" t="s">
        <v>30</v>
      </c>
      <c r="D313" t="s">
        <v>31</v>
      </c>
      <c r="E313">
        <v>3</v>
      </c>
      <c r="F313">
        <v>16</v>
      </c>
      <c r="G313">
        <v>48</v>
      </c>
      <c r="H313">
        <v>0.06</v>
      </c>
      <c r="I313">
        <v>2.88</v>
      </c>
      <c r="J313" t="s">
        <v>35</v>
      </c>
    </row>
    <row r="314" spans="1:10" x14ac:dyDescent="0.3">
      <c r="A314" t="s">
        <v>344</v>
      </c>
      <c r="B314" s="1">
        <v>43310</v>
      </c>
      <c r="C314" t="s">
        <v>15</v>
      </c>
      <c r="D314" t="s">
        <v>31</v>
      </c>
      <c r="E314">
        <v>18</v>
      </c>
      <c r="F314">
        <v>40</v>
      </c>
      <c r="G314">
        <v>720</v>
      </c>
      <c r="H314">
        <v>0.06</v>
      </c>
      <c r="I314">
        <v>43.2</v>
      </c>
      <c r="J314" t="s">
        <v>37</v>
      </c>
    </row>
    <row r="315" spans="1:10" x14ac:dyDescent="0.3">
      <c r="A315" t="s">
        <v>345</v>
      </c>
      <c r="B315" s="1">
        <v>43310</v>
      </c>
      <c r="C315" t="s">
        <v>19</v>
      </c>
      <c r="D315" t="s">
        <v>31</v>
      </c>
      <c r="E315">
        <v>7</v>
      </c>
      <c r="F315">
        <v>230</v>
      </c>
      <c r="G315">
        <v>1610</v>
      </c>
      <c r="H315">
        <v>0.05</v>
      </c>
      <c r="I315">
        <v>80.5</v>
      </c>
      <c r="J315" t="s">
        <v>39</v>
      </c>
    </row>
    <row r="316" spans="1:10" x14ac:dyDescent="0.3">
      <c r="A316" t="s">
        <v>346</v>
      </c>
      <c r="B316" s="1">
        <v>43310</v>
      </c>
      <c r="C316" t="s">
        <v>15</v>
      </c>
      <c r="D316" t="s">
        <v>31</v>
      </c>
      <c r="E316">
        <v>23</v>
      </c>
      <c r="F316">
        <v>40</v>
      </c>
      <c r="G316">
        <v>920</v>
      </c>
      <c r="H316">
        <v>0.05</v>
      </c>
      <c r="I316">
        <v>46</v>
      </c>
      <c r="J316" t="s">
        <v>41</v>
      </c>
    </row>
    <row r="317" spans="1:10" x14ac:dyDescent="0.3">
      <c r="A317" t="s">
        <v>347</v>
      </c>
      <c r="B317" s="1">
        <v>43311</v>
      </c>
      <c r="C317" t="s">
        <v>19</v>
      </c>
      <c r="D317" t="s">
        <v>31</v>
      </c>
      <c r="E317">
        <v>2</v>
      </c>
      <c r="F317">
        <v>230</v>
      </c>
      <c r="G317">
        <v>460</v>
      </c>
      <c r="H317">
        <v>0.08</v>
      </c>
      <c r="I317">
        <v>36.799999999999997</v>
      </c>
      <c r="J317" t="s">
        <v>43</v>
      </c>
    </row>
    <row r="318" spans="1:10" x14ac:dyDescent="0.3">
      <c r="A318" t="s">
        <v>348</v>
      </c>
      <c r="B318" s="1">
        <v>43311</v>
      </c>
      <c r="C318" t="s">
        <v>15</v>
      </c>
      <c r="D318" t="s">
        <v>27</v>
      </c>
      <c r="E318">
        <v>18</v>
      </c>
      <c r="F318">
        <v>40</v>
      </c>
      <c r="G318">
        <v>720</v>
      </c>
      <c r="H318">
        <v>0.04</v>
      </c>
      <c r="I318">
        <v>28.8</v>
      </c>
      <c r="J318" t="s">
        <v>13</v>
      </c>
    </row>
    <row r="319" spans="1:10" x14ac:dyDescent="0.3">
      <c r="A319" t="s">
        <v>349</v>
      </c>
      <c r="B319" s="1">
        <v>43311</v>
      </c>
      <c r="C319" t="s">
        <v>19</v>
      </c>
      <c r="D319" t="s">
        <v>16</v>
      </c>
      <c r="E319">
        <v>7</v>
      </c>
      <c r="F319">
        <v>230</v>
      </c>
      <c r="G319">
        <v>1610</v>
      </c>
      <c r="H319">
        <v>0.05</v>
      </c>
      <c r="I319">
        <v>80.5</v>
      </c>
      <c r="J319" t="s">
        <v>17</v>
      </c>
    </row>
    <row r="320" spans="1:10" x14ac:dyDescent="0.3">
      <c r="A320" t="s">
        <v>350</v>
      </c>
      <c r="B320" s="1">
        <v>43311</v>
      </c>
      <c r="C320" t="s">
        <v>15</v>
      </c>
      <c r="D320" t="s">
        <v>31</v>
      </c>
      <c r="E320">
        <v>14</v>
      </c>
      <c r="F320">
        <v>40</v>
      </c>
      <c r="G320">
        <v>560</v>
      </c>
      <c r="H320">
        <v>0.11</v>
      </c>
      <c r="I320">
        <v>61.6</v>
      </c>
      <c r="J320" t="s">
        <v>20</v>
      </c>
    </row>
    <row r="321" spans="1:10" x14ac:dyDescent="0.3">
      <c r="A321" t="s">
        <v>351</v>
      </c>
      <c r="B321" s="1">
        <v>43311</v>
      </c>
      <c r="C321" t="s">
        <v>34</v>
      </c>
      <c r="D321" t="s">
        <v>16</v>
      </c>
      <c r="E321">
        <v>13</v>
      </c>
      <c r="F321">
        <v>150</v>
      </c>
      <c r="G321">
        <v>1950</v>
      </c>
      <c r="H321">
        <v>0.02</v>
      </c>
      <c r="I321">
        <v>39</v>
      </c>
      <c r="J321" t="s">
        <v>22</v>
      </c>
    </row>
    <row r="322" spans="1:10" x14ac:dyDescent="0.3">
      <c r="A322" t="s">
        <v>352</v>
      </c>
      <c r="B322" s="1">
        <v>43311</v>
      </c>
      <c r="C322" t="s">
        <v>11</v>
      </c>
      <c r="D322" t="s">
        <v>12</v>
      </c>
      <c r="E322">
        <v>12</v>
      </c>
      <c r="F322">
        <v>80</v>
      </c>
      <c r="G322">
        <v>960</v>
      </c>
      <c r="H322">
        <v>0.04</v>
      </c>
      <c r="I322">
        <v>38.4</v>
      </c>
      <c r="J322" t="s">
        <v>25</v>
      </c>
    </row>
    <row r="323" spans="1:10" x14ac:dyDescent="0.3">
      <c r="A323" t="s">
        <v>353</v>
      </c>
      <c r="B323" s="1">
        <v>43311</v>
      </c>
      <c r="C323" t="s">
        <v>19</v>
      </c>
      <c r="D323" t="s">
        <v>31</v>
      </c>
      <c r="E323">
        <v>20</v>
      </c>
      <c r="F323">
        <v>230</v>
      </c>
      <c r="G323">
        <v>4600</v>
      </c>
      <c r="H323">
        <v>0.09</v>
      </c>
      <c r="I323">
        <v>414</v>
      </c>
      <c r="J323" t="s">
        <v>28</v>
      </c>
    </row>
    <row r="324" spans="1:10" x14ac:dyDescent="0.3">
      <c r="A324" t="s">
        <v>354</v>
      </c>
      <c r="B324" s="1">
        <v>43311</v>
      </c>
      <c r="C324" t="s">
        <v>15</v>
      </c>
      <c r="D324" t="s">
        <v>31</v>
      </c>
      <c r="E324">
        <v>5</v>
      </c>
      <c r="F324">
        <v>40</v>
      </c>
      <c r="G324">
        <v>200</v>
      </c>
      <c r="H324">
        <v>0.03</v>
      </c>
      <c r="I324">
        <v>6</v>
      </c>
      <c r="J324" t="s">
        <v>32</v>
      </c>
    </row>
    <row r="325" spans="1:10" x14ac:dyDescent="0.3">
      <c r="A325" t="s">
        <v>355</v>
      </c>
      <c r="B325" s="1">
        <v>43311</v>
      </c>
      <c r="C325" t="s">
        <v>30</v>
      </c>
      <c r="D325" t="s">
        <v>31</v>
      </c>
      <c r="E325">
        <v>2</v>
      </c>
      <c r="F325">
        <v>16</v>
      </c>
      <c r="G325">
        <v>32</v>
      </c>
      <c r="H325">
        <v>0.04</v>
      </c>
      <c r="I325">
        <v>1.28</v>
      </c>
      <c r="J325" t="s">
        <v>35</v>
      </c>
    </row>
    <row r="326" spans="1:10" x14ac:dyDescent="0.3">
      <c r="A326" t="s">
        <v>356</v>
      </c>
      <c r="B326" s="1">
        <v>43282</v>
      </c>
      <c r="C326" t="s">
        <v>11</v>
      </c>
      <c r="D326" t="s">
        <v>24</v>
      </c>
      <c r="E326">
        <v>10</v>
      </c>
      <c r="F326">
        <v>80</v>
      </c>
      <c r="G326">
        <v>800</v>
      </c>
      <c r="H326">
        <v>0.08</v>
      </c>
      <c r="I326">
        <v>64</v>
      </c>
      <c r="J326" t="s">
        <v>37</v>
      </c>
    </row>
    <row r="327" spans="1:10" x14ac:dyDescent="0.3">
      <c r="A327" t="s">
        <v>357</v>
      </c>
      <c r="B327" s="1">
        <v>43282</v>
      </c>
      <c r="C327" t="s">
        <v>15</v>
      </c>
      <c r="D327" t="s">
        <v>27</v>
      </c>
      <c r="E327">
        <v>18</v>
      </c>
      <c r="F327">
        <v>40</v>
      </c>
      <c r="G327">
        <v>720</v>
      </c>
      <c r="H327">
        <v>0.06</v>
      </c>
      <c r="I327">
        <v>43.2</v>
      </c>
      <c r="J327" t="s">
        <v>39</v>
      </c>
    </row>
    <row r="328" spans="1:10" x14ac:dyDescent="0.3">
      <c r="A328" t="s">
        <v>358</v>
      </c>
      <c r="B328" s="1">
        <v>43282</v>
      </c>
      <c r="C328" t="s">
        <v>19</v>
      </c>
      <c r="D328" t="s">
        <v>16</v>
      </c>
      <c r="E328">
        <v>7</v>
      </c>
      <c r="F328">
        <v>230</v>
      </c>
      <c r="G328">
        <v>1610</v>
      </c>
      <c r="H328">
        <v>0.08</v>
      </c>
      <c r="I328">
        <v>128.80000000000001</v>
      </c>
      <c r="J328" t="s">
        <v>41</v>
      </c>
    </row>
    <row r="329" spans="1:10" x14ac:dyDescent="0.3">
      <c r="A329" t="s">
        <v>359</v>
      </c>
      <c r="B329" s="1">
        <v>43282</v>
      </c>
      <c r="C329" t="s">
        <v>15</v>
      </c>
      <c r="D329" t="s">
        <v>27</v>
      </c>
      <c r="E329">
        <v>15</v>
      </c>
      <c r="F329">
        <v>40</v>
      </c>
      <c r="G329">
        <v>600</v>
      </c>
      <c r="H329">
        <v>0.03</v>
      </c>
      <c r="I329">
        <v>18</v>
      </c>
      <c r="J329" t="s">
        <v>43</v>
      </c>
    </row>
    <row r="330" spans="1:10" x14ac:dyDescent="0.3">
      <c r="A330" t="s">
        <v>360</v>
      </c>
      <c r="B330" s="1">
        <v>43282</v>
      </c>
      <c r="C330" t="s">
        <v>30</v>
      </c>
      <c r="D330" t="s">
        <v>24</v>
      </c>
      <c r="E330">
        <v>6</v>
      </c>
      <c r="F330">
        <v>16</v>
      </c>
      <c r="G330">
        <v>96</v>
      </c>
      <c r="H330">
        <v>0.01</v>
      </c>
      <c r="I330">
        <v>0.96</v>
      </c>
      <c r="J330" t="s">
        <v>13</v>
      </c>
    </row>
    <row r="331" spans="1:10" x14ac:dyDescent="0.3">
      <c r="A331" t="s">
        <v>361</v>
      </c>
      <c r="B331" s="1">
        <v>43282</v>
      </c>
      <c r="C331" t="s">
        <v>34</v>
      </c>
      <c r="D331" t="s">
        <v>27</v>
      </c>
      <c r="E331">
        <v>9</v>
      </c>
      <c r="F331">
        <v>150</v>
      </c>
      <c r="G331">
        <v>1350</v>
      </c>
      <c r="H331">
        <v>0.02</v>
      </c>
      <c r="I331">
        <v>27</v>
      </c>
      <c r="J331" t="s">
        <v>17</v>
      </c>
    </row>
    <row r="332" spans="1:10" x14ac:dyDescent="0.3">
      <c r="A332" t="s">
        <v>362</v>
      </c>
      <c r="B332" s="1">
        <v>43282</v>
      </c>
      <c r="C332" t="s">
        <v>30</v>
      </c>
      <c r="D332" t="s">
        <v>31</v>
      </c>
      <c r="E332">
        <v>15</v>
      </c>
      <c r="F332">
        <v>16</v>
      </c>
      <c r="G332">
        <v>240</v>
      </c>
      <c r="H332">
        <v>0.01</v>
      </c>
      <c r="I332">
        <v>2.4</v>
      </c>
      <c r="J332" t="s">
        <v>20</v>
      </c>
    </row>
    <row r="333" spans="1:10" x14ac:dyDescent="0.3">
      <c r="A333" t="s">
        <v>363</v>
      </c>
      <c r="B333" s="1">
        <v>43282</v>
      </c>
      <c r="C333" t="s">
        <v>11</v>
      </c>
      <c r="D333" t="s">
        <v>31</v>
      </c>
      <c r="E333">
        <v>22</v>
      </c>
      <c r="F333">
        <v>80</v>
      </c>
      <c r="G333">
        <v>1760</v>
      </c>
      <c r="H333">
        <v>0.11</v>
      </c>
      <c r="I333">
        <v>193.6</v>
      </c>
      <c r="J333" t="s">
        <v>22</v>
      </c>
    </row>
    <row r="334" spans="1:10" x14ac:dyDescent="0.3">
      <c r="A334" t="s">
        <v>364</v>
      </c>
      <c r="B334" s="1">
        <v>43282</v>
      </c>
      <c r="C334" t="s">
        <v>34</v>
      </c>
      <c r="D334" t="s">
        <v>16</v>
      </c>
      <c r="E334">
        <v>13</v>
      </c>
      <c r="F334">
        <v>150</v>
      </c>
      <c r="G334">
        <v>1950</v>
      </c>
      <c r="H334">
        <v>0.02</v>
      </c>
      <c r="I334">
        <v>39</v>
      </c>
      <c r="J334" t="s">
        <v>25</v>
      </c>
    </row>
    <row r="335" spans="1:10" x14ac:dyDescent="0.3">
      <c r="A335" t="s">
        <v>365</v>
      </c>
      <c r="B335" s="1">
        <v>43283</v>
      </c>
      <c r="C335" t="s">
        <v>30</v>
      </c>
      <c r="D335" t="s">
        <v>24</v>
      </c>
      <c r="E335">
        <v>12</v>
      </c>
      <c r="F335">
        <v>16</v>
      </c>
      <c r="G335">
        <v>192</v>
      </c>
      <c r="H335">
        <v>0.03</v>
      </c>
      <c r="I335">
        <v>5.76</v>
      </c>
      <c r="J335" t="s">
        <v>28</v>
      </c>
    </row>
    <row r="336" spans="1:10" x14ac:dyDescent="0.3">
      <c r="A336" t="s">
        <v>366</v>
      </c>
      <c r="B336" s="1">
        <v>43283</v>
      </c>
      <c r="C336" t="s">
        <v>15</v>
      </c>
      <c r="D336" t="s">
        <v>27</v>
      </c>
      <c r="E336">
        <v>4</v>
      </c>
      <c r="F336">
        <v>40</v>
      </c>
      <c r="G336">
        <v>160</v>
      </c>
      <c r="H336">
        <v>0.05</v>
      </c>
      <c r="I336">
        <v>8</v>
      </c>
      <c r="J336" t="s">
        <v>32</v>
      </c>
    </row>
    <row r="337" spans="1:10" x14ac:dyDescent="0.3">
      <c r="A337" t="s">
        <v>367</v>
      </c>
      <c r="B337" s="1">
        <v>43283</v>
      </c>
      <c r="C337" t="s">
        <v>19</v>
      </c>
      <c r="D337" t="s">
        <v>16</v>
      </c>
      <c r="E337">
        <v>19</v>
      </c>
      <c r="F337">
        <v>230</v>
      </c>
      <c r="G337">
        <v>4370</v>
      </c>
      <c r="H337">
        <v>0.11</v>
      </c>
      <c r="I337">
        <v>480.7</v>
      </c>
      <c r="J337" t="s">
        <v>35</v>
      </c>
    </row>
    <row r="338" spans="1:10" x14ac:dyDescent="0.3">
      <c r="A338" t="s">
        <v>368</v>
      </c>
      <c r="B338" s="1">
        <v>43283</v>
      </c>
      <c r="C338" t="s">
        <v>15</v>
      </c>
      <c r="D338" t="s">
        <v>16</v>
      </c>
      <c r="E338">
        <v>4</v>
      </c>
      <c r="F338">
        <v>40</v>
      </c>
      <c r="G338">
        <v>160</v>
      </c>
      <c r="H338">
        <v>0.06</v>
      </c>
      <c r="I338">
        <v>9.6</v>
      </c>
      <c r="J338" t="s">
        <v>37</v>
      </c>
    </row>
    <row r="339" spans="1:10" x14ac:dyDescent="0.3">
      <c r="A339" t="s">
        <v>369</v>
      </c>
      <c r="B339" s="1">
        <v>43283</v>
      </c>
      <c r="C339" t="s">
        <v>30</v>
      </c>
      <c r="D339" t="s">
        <v>24</v>
      </c>
      <c r="E339">
        <v>6</v>
      </c>
      <c r="F339">
        <v>16</v>
      </c>
      <c r="G339">
        <v>96</v>
      </c>
      <c r="H339">
        <v>7.0000000000000007E-2</v>
      </c>
      <c r="I339">
        <v>6.72</v>
      </c>
      <c r="J339" t="s">
        <v>39</v>
      </c>
    </row>
    <row r="340" spans="1:10" x14ac:dyDescent="0.3">
      <c r="A340" t="s">
        <v>370</v>
      </c>
      <c r="B340" s="1">
        <v>43283</v>
      </c>
      <c r="C340" t="s">
        <v>19</v>
      </c>
      <c r="D340" t="s">
        <v>24</v>
      </c>
      <c r="E340">
        <v>15</v>
      </c>
      <c r="F340">
        <v>230</v>
      </c>
      <c r="G340">
        <v>3450</v>
      </c>
      <c r="H340">
        <v>0.11</v>
      </c>
      <c r="I340">
        <v>379.5</v>
      </c>
      <c r="J340" t="s">
        <v>41</v>
      </c>
    </row>
    <row r="341" spans="1:10" x14ac:dyDescent="0.3">
      <c r="A341" t="s">
        <v>371</v>
      </c>
      <c r="B341" s="1">
        <v>43283</v>
      </c>
      <c r="C341" t="s">
        <v>11</v>
      </c>
      <c r="D341" t="s">
        <v>24</v>
      </c>
      <c r="E341">
        <v>16</v>
      </c>
      <c r="F341">
        <v>80</v>
      </c>
      <c r="G341">
        <v>1280</v>
      </c>
      <c r="H341">
        <v>0.04</v>
      </c>
      <c r="I341">
        <v>51.2</v>
      </c>
      <c r="J341" t="s">
        <v>43</v>
      </c>
    </row>
    <row r="342" spans="1:10" x14ac:dyDescent="0.3">
      <c r="A342" t="s">
        <v>372</v>
      </c>
      <c r="B342" s="1">
        <v>43283</v>
      </c>
      <c r="C342" t="s">
        <v>15</v>
      </c>
      <c r="D342" t="s">
        <v>12</v>
      </c>
      <c r="E342">
        <v>7</v>
      </c>
      <c r="F342">
        <v>40</v>
      </c>
      <c r="G342">
        <v>280</v>
      </c>
      <c r="H342">
        <v>0.1</v>
      </c>
      <c r="I342">
        <v>28</v>
      </c>
      <c r="J342" t="s">
        <v>13</v>
      </c>
    </row>
    <row r="343" spans="1:10" x14ac:dyDescent="0.3">
      <c r="A343" t="s">
        <v>373</v>
      </c>
      <c r="B343" s="1">
        <v>43283</v>
      </c>
      <c r="C343" t="s">
        <v>15</v>
      </c>
      <c r="D343" t="s">
        <v>24</v>
      </c>
      <c r="E343">
        <v>11</v>
      </c>
      <c r="F343">
        <v>40</v>
      </c>
      <c r="G343">
        <v>440</v>
      </c>
      <c r="H343">
        <v>0.05</v>
      </c>
      <c r="I343">
        <v>22</v>
      </c>
      <c r="J343" t="s">
        <v>17</v>
      </c>
    </row>
    <row r="344" spans="1:10" x14ac:dyDescent="0.3">
      <c r="A344" t="s">
        <v>374</v>
      </c>
      <c r="B344" s="1">
        <v>43283</v>
      </c>
      <c r="C344" t="s">
        <v>11</v>
      </c>
      <c r="D344" t="s">
        <v>31</v>
      </c>
      <c r="E344">
        <v>9</v>
      </c>
      <c r="F344">
        <v>80</v>
      </c>
      <c r="G344">
        <v>720</v>
      </c>
      <c r="H344">
        <v>0.06</v>
      </c>
      <c r="I344">
        <v>43.2</v>
      </c>
      <c r="J344" t="s">
        <v>20</v>
      </c>
    </row>
    <row r="345" spans="1:10" x14ac:dyDescent="0.3">
      <c r="A345" t="s">
        <v>375</v>
      </c>
      <c r="B345" s="1">
        <v>43283</v>
      </c>
      <c r="C345" t="s">
        <v>11</v>
      </c>
      <c r="D345" t="s">
        <v>16</v>
      </c>
      <c r="E345">
        <v>21</v>
      </c>
      <c r="F345">
        <v>80</v>
      </c>
      <c r="G345">
        <v>1680</v>
      </c>
      <c r="H345">
        <v>0.04</v>
      </c>
      <c r="I345">
        <v>67.2</v>
      </c>
      <c r="J345" t="s">
        <v>22</v>
      </c>
    </row>
    <row r="346" spans="1:10" x14ac:dyDescent="0.3">
      <c r="A346" t="s">
        <v>376</v>
      </c>
      <c r="B346" s="1">
        <v>43283</v>
      </c>
      <c r="C346" t="s">
        <v>15</v>
      </c>
      <c r="D346" t="s">
        <v>24</v>
      </c>
      <c r="E346">
        <v>2</v>
      </c>
      <c r="F346">
        <v>40</v>
      </c>
      <c r="G346">
        <v>80</v>
      </c>
      <c r="H346">
        <v>0.03</v>
      </c>
      <c r="I346">
        <v>2.4</v>
      </c>
      <c r="J346" t="s">
        <v>25</v>
      </c>
    </row>
    <row r="347" spans="1:10" x14ac:dyDescent="0.3">
      <c r="A347" t="s">
        <v>377</v>
      </c>
      <c r="B347" s="1">
        <v>43284</v>
      </c>
      <c r="C347" t="s">
        <v>30</v>
      </c>
      <c r="D347" t="s">
        <v>24</v>
      </c>
      <c r="E347">
        <v>17</v>
      </c>
      <c r="F347">
        <v>16</v>
      </c>
      <c r="G347">
        <v>272</v>
      </c>
      <c r="H347">
        <v>0.05</v>
      </c>
      <c r="I347">
        <v>13.6</v>
      </c>
      <c r="J347" t="s">
        <v>28</v>
      </c>
    </row>
    <row r="348" spans="1:10" x14ac:dyDescent="0.3">
      <c r="A348" t="s">
        <v>378</v>
      </c>
      <c r="B348" s="1">
        <v>43284</v>
      </c>
      <c r="C348" t="s">
        <v>15</v>
      </c>
      <c r="D348" t="s">
        <v>12</v>
      </c>
      <c r="E348">
        <v>18</v>
      </c>
      <c r="F348">
        <v>40</v>
      </c>
      <c r="G348">
        <v>720</v>
      </c>
      <c r="H348">
        <v>0.06</v>
      </c>
      <c r="I348">
        <v>43.2</v>
      </c>
      <c r="J348" t="s">
        <v>32</v>
      </c>
    </row>
    <row r="349" spans="1:10" x14ac:dyDescent="0.3">
      <c r="A349" t="s">
        <v>379</v>
      </c>
      <c r="B349" s="1">
        <v>43284</v>
      </c>
      <c r="C349" t="s">
        <v>15</v>
      </c>
      <c r="D349" t="s">
        <v>12</v>
      </c>
      <c r="E349">
        <v>9</v>
      </c>
      <c r="F349">
        <v>40</v>
      </c>
      <c r="G349">
        <v>360</v>
      </c>
      <c r="H349">
        <v>0.01</v>
      </c>
      <c r="I349">
        <v>3.6</v>
      </c>
      <c r="J349" t="s">
        <v>35</v>
      </c>
    </row>
    <row r="350" spans="1:10" x14ac:dyDescent="0.3">
      <c r="A350" t="s">
        <v>380</v>
      </c>
      <c r="B350" s="1">
        <v>43284</v>
      </c>
      <c r="C350" t="s">
        <v>15</v>
      </c>
      <c r="D350" t="s">
        <v>16</v>
      </c>
      <c r="E350">
        <v>7</v>
      </c>
      <c r="F350">
        <v>40</v>
      </c>
      <c r="G350">
        <v>280</v>
      </c>
      <c r="H350">
        <v>0.01</v>
      </c>
      <c r="I350">
        <v>2.8</v>
      </c>
      <c r="J350" t="s">
        <v>37</v>
      </c>
    </row>
    <row r="351" spans="1:10" x14ac:dyDescent="0.3">
      <c r="A351" t="s">
        <v>381</v>
      </c>
      <c r="B351" s="1">
        <v>43284</v>
      </c>
      <c r="C351" t="s">
        <v>19</v>
      </c>
      <c r="D351" t="s">
        <v>24</v>
      </c>
      <c r="E351">
        <v>12</v>
      </c>
      <c r="F351">
        <v>230</v>
      </c>
      <c r="G351">
        <v>2760</v>
      </c>
      <c r="H351">
        <v>0.06</v>
      </c>
      <c r="I351">
        <v>165.6</v>
      </c>
      <c r="J351" t="s">
        <v>39</v>
      </c>
    </row>
    <row r="352" spans="1:10" x14ac:dyDescent="0.3">
      <c r="A352" t="s">
        <v>382</v>
      </c>
      <c r="B352" s="1">
        <v>43284</v>
      </c>
      <c r="C352" t="s">
        <v>30</v>
      </c>
      <c r="D352" t="s">
        <v>16</v>
      </c>
      <c r="E352">
        <v>22</v>
      </c>
      <c r="F352">
        <v>16</v>
      </c>
      <c r="G352">
        <v>352</v>
      </c>
      <c r="H352">
        <v>0.04</v>
      </c>
      <c r="I352">
        <v>14.08</v>
      </c>
      <c r="J352" t="s">
        <v>13</v>
      </c>
    </row>
    <row r="353" spans="1:10" x14ac:dyDescent="0.3">
      <c r="A353" t="s">
        <v>383</v>
      </c>
      <c r="B353" s="1">
        <v>43285</v>
      </c>
      <c r="C353" t="s">
        <v>34</v>
      </c>
      <c r="D353" t="s">
        <v>12</v>
      </c>
      <c r="E353">
        <v>5</v>
      </c>
      <c r="F353">
        <v>150</v>
      </c>
      <c r="G353">
        <v>750</v>
      </c>
      <c r="H353">
        <v>0.11</v>
      </c>
      <c r="I353">
        <v>82.5</v>
      </c>
      <c r="J353" t="s">
        <v>17</v>
      </c>
    </row>
    <row r="354" spans="1:10" x14ac:dyDescent="0.3">
      <c r="A354" t="s">
        <v>384</v>
      </c>
      <c r="B354" s="1">
        <v>43285</v>
      </c>
      <c r="C354" t="s">
        <v>11</v>
      </c>
      <c r="D354" t="s">
        <v>16</v>
      </c>
      <c r="E354">
        <v>14</v>
      </c>
      <c r="F354">
        <v>80</v>
      </c>
      <c r="G354">
        <v>1120</v>
      </c>
      <c r="H354">
        <v>0.11</v>
      </c>
      <c r="I354">
        <v>123.2</v>
      </c>
      <c r="J354" t="s">
        <v>20</v>
      </c>
    </row>
    <row r="355" spans="1:10" x14ac:dyDescent="0.3">
      <c r="A355" t="s">
        <v>385</v>
      </c>
      <c r="B355" s="1">
        <v>43285</v>
      </c>
      <c r="C355" t="s">
        <v>30</v>
      </c>
      <c r="D355" t="s">
        <v>24</v>
      </c>
      <c r="E355">
        <v>8</v>
      </c>
      <c r="F355">
        <v>16</v>
      </c>
      <c r="G355">
        <v>128</v>
      </c>
      <c r="H355">
        <v>0.03</v>
      </c>
      <c r="I355">
        <v>3.84</v>
      </c>
      <c r="J355" t="s">
        <v>22</v>
      </c>
    </row>
    <row r="356" spans="1:10" x14ac:dyDescent="0.3">
      <c r="A356" t="s">
        <v>386</v>
      </c>
      <c r="B356" s="1">
        <v>43285</v>
      </c>
      <c r="C356" t="s">
        <v>19</v>
      </c>
      <c r="D356" t="s">
        <v>24</v>
      </c>
      <c r="E356">
        <v>6</v>
      </c>
      <c r="F356">
        <v>230</v>
      </c>
      <c r="G356">
        <v>1380</v>
      </c>
      <c r="H356">
        <v>0.05</v>
      </c>
      <c r="I356">
        <v>69</v>
      </c>
      <c r="J356" t="s">
        <v>25</v>
      </c>
    </row>
    <row r="357" spans="1:10" x14ac:dyDescent="0.3">
      <c r="A357" t="s">
        <v>387</v>
      </c>
      <c r="B357" s="1">
        <v>43285</v>
      </c>
      <c r="C357" t="s">
        <v>30</v>
      </c>
      <c r="D357" t="s">
        <v>27</v>
      </c>
      <c r="E357">
        <v>7</v>
      </c>
      <c r="F357">
        <v>16</v>
      </c>
      <c r="G357">
        <v>112</v>
      </c>
      <c r="H357">
        <v>0.08</v>
      </c>
      <c r="I357">
        <v>8.9600000000000009</v>
      </c>
      <c r="J357" t="s">
        <v>28</v>
      </c>
    </row>
    <row r="358" spans="1:10" x14ac:dyDescent="0.3">
      <c r="A358" t="s">
        <v>388</v>
      </c>
      <c r="B358" s="1">
        <v>43285</v>
      </c>
      <c r="C358" t="s">
        <v>11</v>
      </c>
      <c r="D358" t="s">
        <v>16</v>
      </c>
      <c r="E358">
        <v>16</v>
      </c>
      <c r="F358">
        <v>80</v>
      </c>
      <c r="G358">
        <v>1280</v>
      </c>
      <c r="H358">
        <v>0.04</v>
      </c>
      <c r="I358">
        <v>51.2</v>
      </c>
      <c r="J358" t="s">
        <v>32</v>
      </c>
    </row>
    <row r="359" spans="1:10" x14ac:dyDescent="0.3">
      <c r="A359" t="s">
        <v>389</v>
      </c>
      <c r="B359" s="1">
        <v>43285</v>
      </c>
      <c r="C359" t="s">
        <v>34</v>
      </c>
      <c r="D359" t="s">
        <v>12</v>
      </c>
      <c r="E359">
        <v>17</v>
      </c>
      <c r="F359">
        <v>150</v>
      </c>
      <c r="G359">
        <v>2550</v>
      </c>
      <c r="H359">
        <v>0.12</v>
      </c>
      <c r="I359">
        <v>306</v>
      </c>
      <c r="J359" t="s">
        <v>35</v>
      </c>
    </row>
    <row r="360" spans="1:10" x14ac:dyDescent="0.3">
      <c r="A360" t="s">
        <v>390</v>
      </c>
      <c r="B360" s="1">
        <v>43285</v>
      </c>
      <c r="C360" t="s">
        <v>30</v>
      </c>
      <c r="D360" t="s">
        <v>16</v>
      </c>
      <c r="E360">
        <v>7</v>
      </c>
      <c r="F360">
        <v>16</v>
      </c>
      <c r="G360">
        <v>112</v>
      </c>
      <c r="H360">
        <v>0.08</v>
      </c>
      <c r="I360">
        <v>8.9600000000000009</v>
      </c>
      <c r="J360" t="s">
        <v>37</v>
      </c>
    </row>
    <row r="361" spans="1:10" x14ac:dyDescent="0.3">
      <c r="A361" t="s">
        <v>391</v>
      </c>
      <c r="B361" s="1">
        <v>43286</v>
      </c>
      <c r="C361" t="s">
        <v>30</v>
      </c>
      <c r="D361" t="s">
        <v>12</v>
      </c>
      <c r="E361">
        <v>21</v>
      </c>
      <c r="F361">
        <v>16</v>
      </c>
      <c r="G361">
        <v>336</v>
      </c>
      <c r="H361">
        <v>0.09</v>
      </c>
      <c r="I361">
        <v>30.24</v>
      </c>
      <c r="J361" t="s">
        <v>39</v>
      </c>
    </row>
    <row r="362" spans="1:10" x14ac:dyDescent="0.3">
      <c r="A362" t="s">
        <v>392</v>
      </c>
      <c r="B362" s="1">
        <v>43286</v>
      </c>
      <c r="C362" t="s">
        <v>30</v>
      </c>
      <c r="D362" t="s">
        <v>24</v>
      </c>
      <c r="E362">
        <v>23</v>
      </c>
      <c r="F362">
        <v>16</v>
      </c>
      <c r="G362">
        <v>368</v>
      </c>
      <c r="H362">
        <v>0.11</v>
      </c>
      <c r="I362">
        <v>40.479999999999997</v>
      </c>
      <c r="J362" t="s">
        <v>41</v>
      </c>
    </row>
    <row r="363" spans="1:10" x14ac:dyDescent="0.3">
      <c r="A363" t="s">
        <v>393</v>
      </c>
      <c r="B363" s="1">
        <v>43286</v>
      </c>
      <c r="C363" t="s">
        <v>34</v>
      </c>
      <c r="D363" t="s">
        <v>24</v>
      </c>
      <c r="E363">
        <v>2</v>
      </c>
      <c r="F363">
        <v>150</v>
      </c>
      <c r="G363">
        <v>300</v>
      </c>
      <c r="H363">
        <v>0.02</v>
      </c>
      <c r="I363">
        <v>6</v>
      </c>
      <c r="J363" t="s">
        <v>43</v>
      </c>
    </row>
    <row r="364" spans="1:10" x14ac:dyDescent="0.3">
      <c r="A364" t="s">
        <v>394</v>
      </c>
      <c r="B364" s="1">
        <v>43286</v>
      </c>
      <c r="C364" t="s">
        <v>34</v>
      </c>
      <c r="D364" t="s">
        <v>12</v>
      </c>
      <c r="E364">
        <v>22</v>
      </c>
      <c r="F364">
        <v>150</v>
      </c>
      <c r="G364">
        <v>3300</v>
      </c>
      <c r="H364">
        <v>7.0000000000000007E-2</v>
      </c>
      <c r="I364">
        <v>231</v>
      </c>
      <c r="J364" t="s">
        <v>13</v>
      </c>
    </row>
    <row r="365" spans="1:10" x14ac:dyDescent="0.3">
      <c r="A365" t="s">
        <v>395</v>
      </c>
      <c r="B365" s="1">
        <v>43286</v>
      </c>
      <c r="C365" t="s">
        <v>15</v>
      </c>
      <c r="D365" t="s">
        <v>27</v>
      </c>
      <c r="E365">
        <v>22</v>
      </c>
      <c r="F365">
        <v>40</v>
      </c>
      <c r="G365">
        <v>880</v>
      </c>
      <c r="H365">
        <v>0.01</v>
      </c>
      <c r="I365">
        <v>8.8000000000000007</v>
      </c>
      <c r="J365" t="s">
        <v>17</v>
      </c>
    </row>
    <row r="366" spans="1:10" x14ac:dyDescent="0.3">
      <c r="A366" t="s">
        <v>396</v>
      </c>
      <c r="B366" s="1">
        <v>43286</v>
      </c>
      <c r="C366" t="s">
        <v>11</v>
      </c>
      <c r="D366" t="s">
        <v>16</v>
      </c>
      <c r="E366">
        <v>10</v>
      </c>
      <c r="F366">
        <v>80</v>
      </c>
      <c r="G366">
        <v>800</v>
      </c>
      <c r="H366">
        <v>0.11</v>
      </c>
      <c r="I366">
        <v>88</v>
      </c>
      <c r="J366" t="s">
        <v>20</v>
      </c>
    </row>
    <row r="367" spans="1:10" x14ac:dyDescent="0.3">
      <c r="A367" t="s">
        <v>397</v>
      </c>
      <c r="B367" s="1">
        <v>43286</v>
      </c>
      <c r="C367" t="s">
        <v>11</v>
      </c>
      <c r="D367" t="s">
        <v>31</v>
      </c>
      <c r="E367">
        <v>13</v>
      </c>
      <c r="F367">
        <v>80</v>
      </c>
      <c r="G367">
        <v>1040</v>
      </c>
      <c r="H367">
        <v>0.05</v>
      </c>
      <c r="I367">
        <v>52</v>
      </c>
      <c r="J367" t="s">
        <v>22</v>
      </c>
    </row>
    <row r="368" spans="1:10" x14ac:dyDescent="0.3">
      <c r="A368" t="s">
        <v>398</v>
      </c>
      <c r="B368" s="1">
        <v>43286</v>
      </c>
      <c r="C368" t="s">
        <v>19</v>
      </c>
      <c r="D368" t="s">
        <v>27</v>
      </c>
      <c r="E368">
        <v>11</v>
      </c>
      <c r="F368">
        <v>230</v>
      </c>
      <c r="G368">
        <v>2530</v>
      </c>
      <c r="H368">
        <v>0.12</v>
      </c>
      <c r="I368">
        <v>303.60000000000002</v>
      </c>
      <c r="J368" t="s">
        <v>25</v>
      </c>
    </row>
    <row r="369" spans="1:10" x14ac:dyDescent="0.3">
      <c r="A369" t="s">
        <v>399</v>
      </c>
      <c r="B369" s="1">
        <v>43286</v>
      </c>
      <c r="C369" t="s">
        <v>19</v>
      </c>
      <c r="D369" t="s">
        <v>12</v>
      </c>
      <c r="E369">
        <v>9</v>
      </c>
      <c r="F369">
        <v>230</v>
      </c>
      <c r="G369">
        <v>2070</v>
      </c>
      <c r="H369">
        <v>7.0000000000000007E-2</v>
      </c>
      <c r="I369">
        <v>144.9</v>
      </c>
      <c r="J369" t="s">
        <v>28</v>
      </c>
    </row>
    <row r="370" spans="1:10" x14ac:dyDescent="0.3">
      <c r="A370" t="s">
        <v>400</v>
      </c>
      <c r="B370" s="1">
        <v>43286</v>
      </c>
      <c r="C370" t="s">
        <v>19</v>
      </c>
      <c r="D370" t="s">
        <v>27</v>
      </c>
      <c r="E370">
        <v>16</v>
      </c>
      <c r="F370">
        <v>230</v>
      </c>
      <c r="G370">
        <v>3680</v>
      </c>
      <c r="H370">
        <v>0.11</v>
      </c>
      <c r="I370">
        <v>404.8</v>
      </c>
      <c r="J370" t="s">
        <v>32</v>
      </c>
    </row>
    <row r="371" spans="1:10" x14ac:dyDescent="0.3">
      <c r="A371" t="s">
        <v>401</v>
      </c>
      <c r="B371" s="1">
        <v>43286</v>
      </c>
      <c r="C371" t="s">
        <v>19</v>
      </c>
      <c r="D371" t="s">
        <v>27</v>
      </c>
      <c r="E371">
        <v>18</v>
      </c>
      <c r="F371">
        <v>230</v>
      </c>
      <c r="G371">
        <v>4140</v>
      </c>
      <c r="H371">
        <v>0.01</v>
      </c>
      <c r="I371">
        <v>41.4</v>
      </c>
      <c r="J371" t="s">
        <v>35</v>
      </c>
    </row>
    <row r="372" spans="1:10" x14ac:dyDescent="0.3">
      <c r="A372" t="s">
        <v>402</v>
      </c>
      <c r="B372" s="1">
        <v>43286</v>
      </c>
      <c r="C372" t="s">
        <v>30</v>
      </c>
      <c r="D372" t="s">
        <v>16</v>
      </c>
      <c r="E372">
        <v>15</v>
      </c>
      <c r="F372">
        <v>16</v>
      </c>
      <c r="G372">
        <v>240</v>
      </c>
      <c r="H372">
        <v>0.02</v>
      </c>
      <c r="I372">
        <v>4.8</v>
      </c>
      <c r="J372" t="s">
        <v>37</v>
      </c>
    </row>
    <row r="373" spans="1:10" x14ac:dyDescent="0.3">
      <c r="A373" t="s">
        <v>403</v>
      </c>
      <c r="B373" s="1">
        <v>43286</v>
      </c>
      <c r="C373" t="s">
        <v>15</v>
      </c>
      <c r="D373" t="s">
        <v>31</v>
      </c>
      <c r="E373">
        <v>18</v>
      </c>
      <c r="F373">
        <v>40</v>
      </c>
      <c r="G373">
        <v>720</v>
      </c>
      <c r="H373">
        <v>0.06</v>
      </c>
      <c r="I373">
        <v>43.2</v>
      </c>
      <c r="J373" t="s">
        <v>39</v>
      </c>
    </row>
    <row r="374" spans="1:10" x14ac:dyDescent="0.3">
      <c r="A374" t="s">
        <v>404</v>
      </c>
      <c r="B374" s="1">
        <v>43286</v>
      </c>
      <c r="C374" t="s">
        <v>15</v>
      </c>
      <c r="D374" t="s">
        <v>27</v>
      </c>
      <c r="E374">
        <v>18</v>
      </c>
      <c r="F374">
        <v>40</v>
      </c>
      <c r="G374">
        <v>720</v>
      </c>
      <c r="H374">
        <v>0.04</v>
      </c>
      <c r="I374">
        <v>28.8</v>
      </c>
      <c r="J374" t="s">
        <v>41</v>
      </c>
    </row>
    <row r="375" spans="1:10" x14ac:dyDescent="0.3">
      <c r="A375" t="s">
        <v>405</v>
      </c>
      <c r="B375" s="1">
        <v>43286</v>
      </c>
      <c r="C375" t="s">
        <v>30</v>
      </c>
      <c r="D375" t="s">
        <v>27</v>
      </c>
      <c r="E375">
        <v>22</v>
      </c>
      <c r="F375">
        <v>16</v>
      </c>
      <c r="G375">
        <v>352</v>
      </c>
      <c r="H375">
        <v>0.03</v>
      </c>
      <c r="I375">
        <v>10.56</v>
      </c>
      <c r="J375" t="s">
        <v>43</v>
      </c>
    </row>
    <row r="376" spans="1:10" x14ac:dyDescent="0.3">
      <c r="A376" t="s">
        <v>406</v>
      </c>
      <c r="B376" s="1">
        <v>43286</v>
      </c>
      <c r="C376" t="s">
        <v>30</v>
      </c>
      <c r="D376" t="s">
        <v>24</v>
      </c>
      <c r="E376">
        <v>12</v>
      </c>
      <c r="F376">
        <v>16</v>
      </c>
      <c r="G376">
        <v>192</v>
      </c>
      <c r="H376">
        <v>0.11</v>
      </c>
      <c r="I376">
        <v>21.12</v>
      </c>
      <c r="J376" t="s">
        <v>13</v>
      </c>
    </row>
    <row r="377" spans="1:10" x14ac:dyDescent="0.3">
      <c r="A377" t="s">
        <v>407</v>
      </c>
      <c r="B377" s="1">
        <v>43287</v>
      </c>
      <c r="C377" t="s">
        <v>11</v>
      </c>
      <c r="D377" t="s">
        <v>12</v>
      </c>
      <c r="E377">
        <v>20</v>
      </c>
      <c r="F377">
        <v>80</v>
      </c>
      <c r="G377">
        <v>1600</v>
      </c>
      <c r="H377">
        <v>0.01</v>
      </c>
      <c r="I377">
        <v>16</v>
      </c>
      <c r="J377" t="s">
        <v>17</v>
      </c>
    </row>
    <row r="378" spans="1:10" x14ac:dyDescent="0.3">
      <c r="A378" t="s">
        <v>408</v>
      </c>
      <c r="B378" s="1">
        <v>43287</v>
      </c>
      <c r="C378" t="s">
        <v>19</v>
      </c>
      <c r="D378" t="s">
        <v>24</v>
      </c>
      <c r="E378">
        <v>10</v>
      </c>
      <c r="F378">
        <v>230</v>
      </c>
      <c r="G378">
        <v>2300</v>
      </c>
      <c r="H378">
        <v>0.02</v>
      </c>
      <c r="I378">
        <v>46</v>
      </c>
      <c r="J378" t="s">
        <v>20</v>
      </c>
    </row>
    <row r="379" spans="1:10" x14ac:dyDescent="0.3">
      <c r="A379" t="s">
        <v>409</v>
      </c>
      <c r="B379" s="1">
        <v>43287</v>
      </c>
      <c r="C379" t="s">
        <v>19</v>
      </c>
      <c r="D379" t="s">
        <v>16</v>
      </c>
      <c r="E379">
        <v>9</v>
      </c>
      <c r="F379">
        <v>230</v>
      </c>
      <c r="G379">
        <v>2070</v>
      </c>
      <c r="H379">
        <v>0.03</v>
      </c>
      <c r="I379">
        <v>62.1</v>
      </c>
      <c r="J379" t="s">
        <v>22</v>
      </c>
    </row>
    <row r="380" spans="1:10" x14ac:dyDescent="0.3">
      <c r="A380" t="s">
        <v>410</v>
      </c>
      <c r="B380" s="1">
        <v>43287</v>
      </c>
      <c r="C380" t="s">
        <v>11</v>
      </c>
      <c r="D380" t="s">
        <v>16</v>
      </c>
      <c r="E380">
        <v>17</v>
      </c>
      <c r="F380">
        <v>80</v>
      </c>
      <c r="G380">
        <v>1360</v>
      </c>
      <c r="H380">
        <v>0.03</v>
      </c>
      <c r="I380">
        <v>40.799999999999997</v>
      </c>
      <c r="J380" t="s">
        <v>25</v>
      </c>
    </row>
    <row r="381" spans="1:10" x14ac:dyDescent="0.3">
      <c r="A381" t="s">
        <v>411</v>
      </c>
      <c r="B381" s="1">
        <v>43287</v>
      </c>
      <c r="C381" t="s">
        <v>15</v>
      </c>
      <c r="D381" t="s">
        <v>31</v>
      </c>
      <c r="E381">
        <v>4</v>
      </c>
      <c r="F381">
        <v>40</v>
      </c>
      <c r="G381">
        <v>160</v>
      </c>
      <c r="H381">
        <v>0.09</v>
      </c>
      <c r="I381">
        <v>14.4</v>
      </c>
      <c r="J381" t="s">
        <v>28</v>
      </c>
    </row>
    <row r="382" spans="1:10" x14ac:dyDescent="0.3">
      <c r="A382" t="s">
        <v>412</v>
      </c>
      <c r="B382" s="1">
        <v>43287</v>
      </c>
      <c r="C382" t="s">
        <v>34</v>
      </c>
      <c r="D382" t="s">
        <v>16</v>
      </c>
      <c r="E382">
        <v>16</v>
      </c>
      <c r="F382">
        <v>150</v>
      </c>
      <c r="G382">
        <v>2400</v>
      </c>
      <c r="H382">
        <v>0.03</v>
      </c>
      <c r="I382">
        <v>72</v>
      </c>
      <c r="J382" t="s">
        <v>32</v>
      </c>
    </row>
    <row r="383" spans="1:10" x14ac:dyDescent="0.3">
      <c r="A383" t="s">
        <v>413</v>
      </c>
      <c r="B383" s="1">
        <v>43287</v>
      </c>
      <c r="C383" t="s">
        <v>11</v>
      </c>
      <c r="D383" t="s">
        <v>24</v>
      </c>
      <c r="E383">
        <v>8</v>
      </c>
      <c r="F383">
        <v>80</v>
      </c>
      <c r="G383">
        <v>640</v>
      </c>
      <c r="H383">
        <v>0.02</v>
      </c>
      <c r="I383">
        <v>12.8</v>
      </c>
      <c r="J383" t="s">
        <v>35</v>
      </c>
    </row>
    <row r="384" spans="1:10" x14ac:dyDescent="0.3">
      <c r="A384" t="s">
        <v>414</v>
      </c>
      <c r="B384" s="1">
        <v>43287</v>
      </c>
      <c r="C384" t="s">
        <v>15</v>
      </c>
      <c r="D384" t="s">
        <v>27</v>
      </c>
      <c r="E384">
        <v>23</v>
      </c>
      <c r="F384">
        <v>40</v>
      </c>
      <c r="G384">
        <v>920</v>
      </c>
      <c r="H384">
        <v>0.06</v>
      </c>
      <c r="I384">
        <v>55.2</v>
      </c>
      <c r="J384" t="s">
        <v>37</v>
      </c>
    </row>
    <row r="385" spans="1:10" x14ac:dyDescent="0.3">
      <c r="A385" t="s">
        <v>415</v>
      </c>
      <c r="B385" s="1">
        <v>43288</v>
      </c>
      <c r="C385" t="s">
        <v>34</v>
      </c>
      <c r="D385" t="s">
        <v>27</v>
      </c>
      <c r="E385">
        <v>20</v>
      </c>
      <c r="F385">
        <v>150</v>
      </c>
      <c r="G385">
        <v>3000</v>
      </c>
      <c r="H385">
        <v>0.1</v>
      </c>
      <c r="I385">
        <v>300</v>
      </c>
      <c r="J385" t="s">
        <v>39</v>
      </c>
    </row>
    <row r="386" spans="1:10" x14ac:dyDescent="0.3">
      <c r="A386" t="s">
        <v>416</v>
      </c>
      <c r="B386" s="1">
        <v>43288</v>
      </c>
      <c r="C386" t="s">
        <v>19</v>
      </c>
      <c r="D386" t="s">
        <v>31</v>
      </c>
      <c r="E386">
        <v>22</v>
      </c>
      <c r="F386">
        <v>230</v>
      </c>
      <c r="G386">
        <v>5060</v>
      </c>
      <c r="H386">
        <v>0.1</v>
      </c>
      <c r="I386">
        <v>506</v>
      </c>
      <c r="J386" t="s">
        <v>41</v>
      </c>
    </row>
    <row r="387" spans="1:10" x14ac:dyDescent="0.3">
      <c r="A387" t="s">
        <v>417</v>
      </c>
      <c r="B387" s="1">
        <v>43288</v>
      </c>
      <c r="C387" t="s">
        <v>19</v>
      </c>
      <c r="D387" t="s">
        <v>16</v>
      </c>
      <c r="E387">
        <v>6</v>
      </c>
      <c r="F387">
        <v>230</v>
      </c>
      <c r="G387">
        <v>1380</v>
      </c>
      <c r="H387">
        <v>0.1</v>
      </c>
      <c r="I387">
        <v>138</v>
      </c>
      <c r="J387" t="s">
        <v>43</v>
      </c>
    </row>
    <row r="388" spans="1:10" x14ac:dyDescent="0.3">
      <c r="A388" t="s">
        <v>418</v>
      </c>
      <c r="B388" s="1">
        <v>43288</v>
      </c>
      <c r="C388" t="s">
        <v>11</v>
      </c>
      <c r="D388" t="s">
        <v>27</v>
      </c>
      <c r="E388">
        <v>10</v>
      </c>
      <c r="F388">
        <v>80</v>
      </c>
      <c r="G388">
        <v>800</v>
      </c>
      <c r="H388">
        <v>0.1</v>
      </c>
      <c r="I388">
        <v>80</v>
      </c>
      <c r="J388" t="s">
        <v>13</v>
      </c>
    </row>
    <row r="389" spans="1:10" x14ac:dyDescent="0.3">
      <c r="A389" t="s">
        <v>419</v>
      </c>
      <c r="B389" s="1">
        <v>43288</v>
      </c>
      <c r="C389" t="s">
        <v>19</v>
      </c>
      <c r="D389" t="s">
        <v>31</v>
      </c>
      <c r="E389">
        <v>21</v>
      </c>
      <c r="F389">
        <v>230</v>
      </c>
      <c r="G389">
        <v>4830</v>
      </c>
      <c r="H389">
        <v>0.05</v>
      </c>
      <c r="I389">
        <v>241.5</v>
      </c>
      <c r="J389" t="s">
        <v>17</v>
      </c>
    </row>
    <row r="390" spans="1:10" x14ac:dyDescent="0.3">
      <c r="A390" t="s">
        <v>420</v>
      </c>
      <c r="B390" s="1">
        <v>43288</v>
      </c>
      <c r="C390" t="s">
        <v>19</v>
      </c>
      <c r="D390" t="s">
        <v>12</v>
      </c>
      <c r="E390">
        <v>20</v>
      </c>
      <c r="F390">
        <v>230</v>
      </c>
      <c r="G390">
        <v>4600</v>
      </c>
      <c r="H390">
        <v>0.04</v>
      </c>
      <c r="I390">
        <v>184</v>
      </c>
      <c r="J390" t="s">
        <v>20</v>
      </c>
    </row>
    <row r="391" spans="1:10" x14ac:dyDescent="0.3">
      <c r="A391" t="s">
        <v>421</v>
      </c>
      <c r="B391" s="1">
        <v>43288</v>
      </c>
      <c r="C391" t="s">
        <v>11</v>
      </c>
      <c r="D391" t="s">
        <v>24</v>
      </c>
      <c r="E391">
        <v>20</v>
      </c>
      <c r="F391">
        <v>80</v>
      </c>
      <c r="G391">
        <v>1600</v>
      </c>
      <c r="H391">
        <v>7.0000000000000007E-2</v>
      </c>
      <c r="I391">
        <v>112</v>
      </c>
      <c r="J391" t="s">
        <v>22</v>
      </c>
    </row>
    <row r="392" spans="1:10" x14ac:dyDescent="0.3">
      <c r="A392" t="s">
        <v>422</v>
      </c>
      <c r="B392" s="1">
        <v>43288</v>
      </c>
      <c r="C392" t="s">
        <v>11</v>
      </c>
      <c r="D392" t="s">
        <v>24</v>
      </c>
      <c r="E392">
        <v>7</v>
      </c>
      <c r="F392">
        <v>80</v>
      </c>
      <c r="G392">
        <v>560</v>
      </c>
      <c r="H392">
        <v>0.05</v>
      </c>
      <c r="I392">
        <v>28</v>
      </c>
      <c r="J392" t="s">
        <v>25</v>
      </c>
    </row>
    <row r="393" spans="1:10" x14ac:dyDescent="0.3">
      <c r="A393" t="s">
        <v>423</v>
      </c>
      <c r="B393" s="1">
        <v>43288</v>
      </c>
      <c r="C393" t="s">
        <v>11</v>
      </c>
      <c r="D393" t="s">
        <v>12</v>
      </c>
      <c r="E393">
        <v>8</v>
      </c>
      <c r="F393">
        <v>80</v>
      </c>
      <c r="G393">
        <v>640</v>
      </c>
      <c r="H393">
        <v>0.09</v>
      </c>
      <c r="I393">
        <v>57.6</v>
      </c>
      <c r="J393" t="s">
        <v>28</v>
      </c>
    </row>
    <row r="394" spans="1:10" x14ac:dyDescent="0.3">
      <c r="A394" t="s">
        <v>424</v>
      </c>
      <c r="B394" s="1">
        <v>43288</v>
      </c>
      <c r="C394" t="s">
        <v>11</v>
      </c>
      <c r="D394" t="s">
        <v>16</v>
      </c>
      <c r="E394">
        <v>3</v>
      </c>
      <c r="F394">
        <v>80</v>
      </c>
      <c r="G394">
        <v>240</v>
      </c>
      <c r="H394">
        <v>0.02</v>
      </c>
      <c r="I394">
        <v>4.8</v>
      </c>
      <c r="J394" t="s">
        <v>32</v>
      </c>
    </row>
    <row r="395" spans="1:10" x14ac:dyDescent="0.3">
      <c r="A395" t="s">
        <v>425</v>
      </c>
      <c r="B395" s="1">
        <v>43288</v>
      </c>
      <c r="C395" t="s">
        <v>11</v>
      </c>
      <c r="D395" t="s">
        <v>27</v>
      </c>
      <c r="E395">
        <v>8</v>
      </c>
      <c r="F395">
        <v>80</v>
      </c>
      <c r="G395">
        <v>640</v>
      </c>
      <c r="H395">
        <v>0.06</v>
      </c>
      <c r="I395">
        <v>38.4</v>
      </c>
      <c r="J395" t="s">
        <v>35</v>
      </c>
    </row>
    <row r="396" spans="1:10" x14ac:dyDescent="0.3">
      <c r="A396" t="s">
        <v>426</v>
      </c>
      <c r="B396" s="1">
        <v>43288</v>
      </c>
      <c r="C396" t="s">
        <v>34</v>
      </c>
      <c r="D396" t="s">
        <v>31</v>
      </c>
      <c r="E396">
        <v>13</v>
      </c>
      <c r="F396">
        <v>150</v>
      </c>
      <c r="G396">
        <v>1950</v>
      </c>
      <c r="H396">
        <v>0.11</v>
      </c>
      <c r="I396">
        <v>214.5</v>
      </c>
      <c r="J396" t="s">
        <v>37</v>
      </c>
    </row>
    <row r="397" spans="1:10" x14ac:dyDescent="0.3">
      <c r="A397" t="s">
        <v>427</v>
      </c>
      <c r="B397" s="1">
        <v>43288</v>
      </c>
      <c r="C397" t="s">
        <v>11</v>
      </c>
      <c r="D397" t="s">
        <v>27</v>
      </c>
      <c r="E397">
        <v>15</v>
      </c>
      <c r="F397">
        <v>80</v>
      </c>
      <c r="G397">
        <v>1200</v>
      </c>
      <c r="H397">
        <v>0.08</v>
      </c>
      <c r="I397">
        <v>96</v>
      </c>
      <c r="J397" t="s">
        <v>39</v>
      </c>
    </row>
    <row r="398" spans="1:10" x14ac:dyDescent="0.3">
      <c r="A398" t="s">
        <v>428</v>
      </c>
      <c r="B398" s="1">
        <v>43288</v>
      </c>
      <c r="C398" t="s">
        <v>34</v>
      </c>
      <c r="D398" t="s">
        <v>31</v>
      </c>
      <c r="E398">
        <v>7</v>
      </c>
      <c r="F398">
        <v>150</v>
      </c>
      <c r="G398">
        <v>1050</v>
      </c>
      <c r="H398">
        <v>0.02</v>
      </c>
      <c r="I398">
        <v>21</v>
      </c>
      <c r="J398" t="s">
        <v>41</v>
      </c>
    </row>
    <row r="399" spans="1:10" x14ac:dyDescent="0.3">
      <c r="A399" t="s">
        <v>429</v>
      </c>
      <c r="B399" s="1">
        <v>43288</v>
      </c>
      <c r="C399" t="s">
        <v>15</v>
      </c>
      <c r="D399" t="s">
        <v>24</v>
      </c>
      <c r="E399">
        <v>6</v>
      </c>
      <c r="F399">
        <v>40</v>
      </c>
      <c r="G399">
        <v>240</v>
      </c>
      <c r="H399">
        <v>0.06</v>
      </c>
      <c r="I399">
        <v>14.4</v>
      </c>
      <c r="J399" t="s">
        <v>43</v>
      </c>
    </row>
    <row r="400" spans="1:10" x14ac:dyDescent="0.3">
      <c r="A400" t="s">
        <v>430</v>
      </c>
      <c r="B400" s="1">
        <v>43288</v>
      </c>
      <c r="C400" t="s">
        <v>11</v>
      </c>
      <c r="D400" t="s">
        <v>27</v>
      </c>
      <c r="E400">
        <v>23</v>
      </c>
      <c r="F400">
        <v>80</v>
      </c>
      <c r="G400">
        <v>1840</v>
      </c>
      <c r="H400">
        <v>0.11</v>
      </c>
      <c r="I400">
        <v>202.4</v>
      </c>
      <c r="J400" t="s">
        <v>13</v>
      </c>
    </row>
    <row r="401" spans="1:10" x14ac:dyDescent="0.3">
      <c r="A401" t="s">
        <v>431</v>
      </c>
      <c r="B401" s="1">
        <v>43288</v>
      </c>
      <c r="C401" t="s">
        <v>19</v>
      </c>
      <c r="D401" t="s">
        <v>24</v>
      </c>
      <c r="E401">
        <v>18</v>
      </c>
      <c r="F401">
        <v>230</v>
      </c>
      <c r="G401">
        <v>4140</v>
      </c>
      <c r="H401">
        <v>0.01</v>
      </c>
      <c r="I401">
        <v>41.4</v>
      </c>
      <c r="J401" t="s">
        <v>17</v>
      </c>
    </row>
    <row r="402" spans="1:10" x14ac:dyDescent="0.3">
      <c r="A402" t="s">
        <v>432</v>
      </c>
      <c r="B402" s="1">
        <v>43289</v>
      </c>
      <c r="C402" t="s">
        <v>11</v>
      </c>
      <c r="D402" t="s">
        <v>31</v>
      </c>
      <c r="E402">
        <v>21</v>
      </c>
      <c r="F402">
        <v>80</v>
      </c>
      <c r="G402">
        <v>1680</v>
      </c>
      <c r="H402">
        <v>0.09</v>
      </c>
      <c r="I402">
        <v>151.19999999999999</v>
      </c>
      <c r="J402" t="s">
        <v>20</v>
      </c>
    </row>
    <row r="403" spans="1:10" x14ac:dyDescent="0.3">
      <c r="A403" t="s">
        <v>433</v>
      </c>
      <c r="B403" s="1">
        <v>43289</v>
      </c>
      <c r="C403" t="s">
        <v>15</v>
      </c>
      <c r="D403" t="s">
        <v>24</v>
      </c>
      <c r="E403">
        <v>13</v>
      </c>
      <c r="F403">
        <v>40</v>
      </c>
      <c r="G403">
        <v>520</v>
      </c>
      <c r="H403">
        <v>0.02</v>
      </c>
      <c r="I403">
        <v>10.4</v>
      </c>
      <c r="J403" t="s">
        <v>22</v>
      </c>
    </row>
    <row r="404" spans="1:10" x14ac:dyDescent="0.3">
      <c r="A404" t="s">
        <v>434</v>
      </c>
      <c r="B404" s="1">
        <v>43289</v>
      </c>
      <c r="C404" t="s">
        <v>11</v>
      </c>
      <c r="D404" t="s">
        <v>24</v>
      </c>
      <c r="E404">
        <v>23</v>
      </c>
      <c r="F404">
        <v>80</v>
      </c>
      <c r="G404">
        <v>1840</v>
      </c>
      <c r="H404">
        <v>0.05</v>
      </c>
      <c r="I404">
        <v>92</v>
      </c>
      <c r="J404" t="s">
        <v>25</v>
      </c>
    </row>
    <row r="405" spans="1:10" x14ac:dyDescent="0.3">
      <c r="A405" t="s">
        <v>435</v>
      </c>
      <c r="B405" s="1">
        <v>43289</v>
      </c>
      <c r="C405" t="s">
        <v>34</v>
      </c>
      <c r="D405" t="s">
        <v>27</v>
      </c>
      <c r="E405">
        <v>15</v>
      </c>
      <c r="F405">
        <v>150</v>
      </c>
      <c r="G405">
        <v>2250</v>
      </c>
      <c r="H405">
        <v>0.05</v>
      </c>
      <c r="I405">
        <v>112.5</v>
      </c>
      <c r="J405" t="s">
        <v>28</v>
      </c>
    </row>
    <row r="406" spans="1:10" x14ac:dyDescent="0.3">
      <c r="A406" t="s">
        <v>436</v>
      </c>
      <c r="B406" s="1">
        <v>43289</v>
      </c>
      <c r="C406" t="s">
        <v>15</v>
      </c>
      <c r="D406" t="s">
        <v>12</v>
      </c>
      <c r="E406">
        <v>5</v>
      </c>
      <c r="F406">
        <v>40</v>
      </c>
      <c r="G406">
        <v>200</v>
      </c>
      <c r="H406">
        <v>0.09</v>
      </c>
      <c r="I406">
        <v>18</v>
      </c>
      <c r="J406" t="s">
        <v>32</v>
      </c>
    </row>
    <row r="407" spans="1:10" x14ac:dyDescent="0.3">
      <c r="A407" t="s">
        <v>437</v>
      </c>
      <c r="B407" s="1">
        <v>43289</v>
      </c>
      <c r="C407" t="s">
        <v>30</v>
      </c>
      <c r="D407" t="s">
        <v>27</v>
      </c>
      <c r="E407">
        <v>10</v>
      </c>
      <c r="F407">
        <v>16</v>
      </c>
      <c r="G407">
        <v>160</v>
      </c>
      <c r="H407">
        <v>0.01</v>
      </c>
      <c r="I407">
        <v>1.6</v>
      </c>
      <c r="J407" t="s">
        <v>35</v>
      </c>
    </row>
    <row r="408" spans="1:10" x14ac:dyDescent="0.3">
      <c r="A408" t="s">
        <v>438</v>
      </c>
      <c r="B408" s="1">
        <v>43289</v>
      </c>
      <c r="C408" t="s">
        <v>19</v>
      </c>
      <c r="D408" t="s">
        <v>24</v>
      </c>
      <c r="E408">
        <v>2</v>
      </c>
      <c r="F408">
        <v>230</v>
      </c>
      <c r="G408">
        <v>460</v>
      </c>
      <c r="H408">
        <v>0.09</v>
      </c>
      <c r="I408">
        <v>41.4</v>
      </c>
      <c r="J408" t="s">
        <v>37</v>
      </c>
    </row>
    <row r="409" spans="1:10" x14ac:dyDescent="0.3">
      <c r="A409" t="s">
        <v>439</v>
      </c>
      <c r="B409" s="1">
        <v>43289</v>
      </c>
      <c r="C409" t="s">
        <v>11</v>
      </c>
      <c r="D409" t="s">
        <v>27</v>
      </c>
      <c r="E409">
        <v>7</v>
      </c>
      <c r="F409">
        <v>80</v>
      </c>
      <c r="G409">
        <v>560</v>
      </c>
      <c r="H409">
        <v>0.02</v>
      </c>
      <c r="I409">
        <v>11.2</v>
      </c>
      <c r="J409" t="s">
        <v>39</v>
      </c>
    </row>
    <row r="410" spans="1:10" x14ac:dyDescent="0.3">
      <c r="A410" t="s">
        <v>440</v>
      </c>
      <c r="B410" s="1">
        <v>43289</v>
      </c>
      <c r="C410" t="s">
        <v>34</v>
      </c>
      <c r="D410" t="s">
        <v>27</v>
      </c>
      <c r="E410">
        <v>22</v>
      </c>
      <c r="F410">
        <v>150</v>
      </c>
      <c r="G410">
        <v>3300</v>
      </c>
      <c r="H410">
        <v>0.05</v>
      </c>
      <c r="I410">
        <v>165</v>
      </c>
      <c r="J410" t="s">
        <v>41</v>
      </c>
    </row>
    <row r="411" spans="1:10" x14ac:dyDescent="0.3">
      <c r="A411" t="s">
        <v>441</v>
      </c>
      <c r="B411" s="1">
        <v>43289</v>
      </c>
      <c r="C411" t="s">
        <v>15</v>
      </c>
      <c r="D411" t="s">
        <v>31</v>
      </c>
      <c r="E411">
        <v>17</v>
      </c>
      <c r="F411">
        <v>40</v>
      </c>
      <c r="G411">
        <v>680</v>
      </c>
      <c r="H411">
        <v>0.02</v>
      </c>
      <c r="I411">
        <v>13.6</v>
      </c>
      <c r="J411" t="s">
        <v>43</v>
      </c>
    </row>
    <row r="412" spans="1:10" x14ac:dyDescent="0.3">
      <c r="A412" t="s">
        <v>442</v>
      </c>
      <c r="B412" s="1">
        <v>43289</v>
      </c>
      <c r="C412" t="s">
        <v>30</v>
      </c>
      <c r="D412" t="s">
        <v>12</v>
      </c>
      <c r="E412">
        <v>22</v>
      </c>
      <c r="F412">
        <v>16</v>
      </c>
      <c r="G412">
        <v>352</v>
      </c>
      <c r="H412">
        <v>0.06</v>
      </c>
      <c r="I412">
        <v>21.12</v>
      </c>
      <c r="J412" t="s">
        <v>13</v>
      </c>
    </row>
    <row r="413" spans="1:10" x14ac:dyDescent="0.3">
      <c r="A413" t="s">
        <v>443</v>
      </c>
      <c r="B413" s="1">
        <v>43289</v>
      </c>
      <c r="C413" t="s">
        <v>30</v>
      </c>
      <c r="D413" t="s">
        <v>31</v>
      </c>
      <c r="E413">
        <v>3</v>
      </c>
      <c r="F413">
        <v>16</v>
      </c>
      <c r="G413">
        <v>48</v>
      </c>
      <c r="H413">
        <v>0.03</v>
      </c>
      <c r="I413">
        <v>1.44</v>
      </c>
      <c r="J413" t="s">
        <v>17</v>
      </c>
    </row>
    <row r="414" spans="1:10" x14ac:dyDescent="0.3">
      <c r="A414" t="s">
        <v>444</v>
      </c>
      <c r="B414" s="1">
        <v>43289</v>
      </c>
      <c r="C414" t="s">
        <v>19</v>
      </c>
      <c r="D414" t="s">
        <v>31</v>
      </c>
      <c r="E414">
        <v>2</v>
      </c>
      <c r="F414">
        <v>230</v>
      </c>
      <c r="G414">
        <v>460</v>
      </c>
      <c r="H414">
        <v>0.08</v>
      </c>
      <c r="I414">
        <v>36.799999999999997</v>
      </c>
      <c r="J414" t="s">
        <v>20</v>
      </c>
    </row>
    <row r="415" spans="1:10" x14ac:dyDescent="0.3">
      <c r="A415" t="s">
        <v>445</v>
      </c>
      <c r="B415" s="1">
        <v>43289</v>
      </c>
      <c r="C415" t="s">
        <v>30</v>
      </c>
      <c r="D415" t="s">
        <v>12</v>
      </c>
      <c r="E415">
        <v>21</v>
      </c>
      <c r="F415">
        <v>16</v>
      </c>
      <c r="G415">
        <v>336</v>
      </c>
      <c r="H415">
        <v>0.09</v>
      </c>
      <c r="I415">
        <v>30.24</v>
      </c>
      <c r="J415" t="s">
        <v>22</v>
      </c>
    </row>
    <row r="416" spans="1:10" x14ac:dyDescent="0.3">
      <c r="A416" t="s">
        <v>446</v>
      </c>
      <c r="B416" s="1">
        <v>43289</v>
      </c>
      <c r="C416" t="s">
        <v>11</v>
      </c>
      <c r="D416" t="s">
        <v>27</v>
      </c>
      <c r="E416">
        <v>7</v>
      </c>
      <c r="F416">
        <v>80</v>
      </c>
      <c r="G416">
        <v>560</v>
      </c>
      <c r="H416">
        <v>7.0000000000000007E-2</v>
      </c>
      <c r="I416">
        <v>39.200000000000003</v>
      </c>
      <c r="J416" t="s">
        <v>25</v>
      </c>
    </row>
    <row r="417" spans="1:10" x14ac:dyDescent="0.3">
      <c r="A417" t="s">
        <v>447</v>
      </c>
      <c r="B417" s="1">
        <v>43289</v>
      </c>
      <c r="C417" t="s">
        <v>34</v>
      </c>
      <c r="D417" t="s">
        <v>16</v>
      </c>
      <c r="E417">
        <v>23</v>
      </c>
      <c r="F417">
        <v>150</v>
      </c>
      <c r="G417">
        <v>3450</v>
      </c>
      <c r="H417">
        <v>0.11</v>
      </c>
      <c r="I417">
        <v>379.5</v>
      </c>
      <c r="J417" t="s">
        <v>28</v>
      </c>
    </row>
    <row r="418" spans="1:10" x14ac:dyDescent="0.3">
      <c r="A418" t="s">
        <v>448</v>
      </c>
      <c r="B418" s="1">
        <v>43290</v>
      </c>
      <c r="C418" t="s">
        <v>34</v>
      </c>
      <c r="D418" t="s">
        <v>12</v>
      </c>
      <c r="E418">
        <v>11</v>
      </c>
      <c r="F418">
        <v>150</v>
      </c>
      <c r="G418">
        <v>1650</v>
      </c>
      <c r="H418">
        <v>0.05</v>
      </c>
      <c r="I418">
        <v>82.5</v>
      </c>
      <c r="J418" t="s">
        <v>32</v>
      </c>
    </row>
    <row r="419" spans="1:10" x14ac:dyDescent="0.3">
      <c r="A419" t="s">
        <v>449</v>
      </c>
      <c r="B419" s="1">
        <v>43290</v>
      </c>
      <c r="C419" t="s">
        <v>11</v>
      </c>
      <c r="D419" t="s">
        <v>31</v>
      </c>
      <c r="E419">
        <v>16</v>
      </c>
      <c r="F419">
        <v>80</v>
      </c>
      <c r="G419">
        <v>1280</v>
      </c>
      <c r="H419">
        <v>0.05</v>
      </c>
      <c r="I419">
        <v>64</v>
      </c>
      <c r="J419" t="s">
        <v>35</v>
      </c>
    </row>
    <row r="420" spans="1:10" x14ac:dyDescent="0.3">
      <c r="A420" t="s">
        <v>450</v>
      </c>
      <c r="B420" s="1">
        <v>43290</v>
      </c>
      <c r="C420" t="s">
        <v>19</v>
      </c>
      <c r="D420" t="s">
        <v>24</v>
      </c>
      <c r="E420">
        <v>5</v>
      </c>
      <c r="F420">
        <v>230</v>
      </c>
      <c r="G420">
        <v>1150</v>
      </c>
      <c r="H420">
        <v>0.1</v>
      </c>
      <c r="I420">
        <v>115</v>
      </c>
      <c r="J420" t="s">
        <v>37</v>
      </c>
    </row>
    <row r="421" spans="1:10" x14ac:dyDescent="0.3">
      <c r="A421" t="s">
        <v>451</v>
      </c>
      <c r="B421" s="1">
        <v>43290</v>
      </c>
      <c r="C421" t="s">
        <v>30</v>
      </c>
      <c r="D421" t="s">
        <v>12</v>
      </c>
      <c r="E421">
        <v>22</v>
      </c>
      <c r="F421">
        <v>16</v>
      </c>
      <c r="G421">
        <v>352</v>
      </c>
      <c r="H421">
        <v>0.01</v>
      </c>
      <c r="I421">
        <v>3.52</v>
      </c>
      <c r="J421" t="s">
        <v>39</v>
      </c>
    </row>
    <row r="422" spans="1:10" x14ac:dyDescent="0.3">
      <c r="A422" t="s">
        <v>452</v>
      </c>
      <c r="B422" s="1">
        <v>43290</v>
      </c>
      <c r="C422" t="s">
        <v>15</v>
      </c>
      <c r="D422" t="s">
        <v>31</v>
      </c>
      <c r="E422">
        <v>7</v>
      </c>
      <c r="F422">
        <v>40</v>
      </c>
      <c r="G422">
        <v>280</v>
      </c>
      <c r="H422">
        <v>0.12</v>
      </c>
      <c r="I422">
        <v>33.6</v>
      </c>
      <c r="J422" t="s">
        <v>13</v>
      </c>
    </row>
    <row r="423" spans="1:10" x14ac:dyDescent="0.3">
      <c r="A423" t="s">
        <v>453</v>
      </c>
      <c r="B423" s="1">
        <v>43290</v>
      </c>
      <c r="C423" t="s">
        <v>11</v>
      </c>
      <c r="D423" t="s">
        <v>16</v>
      </c>
      <c r="E423">
        <v>2</v>
      </c>
      <c r="F423">
        <v>80</v>
      </c>
      <c r="G423">
        <v>160</v>
      </c>
      <c r="H423">
        <v>0.04</v>
      </c>
      <c r="I423">
        <v>6.4</v>
      </c>
      <c r="J423" t="s">
        <v>17</v>
      </c>
    </row>
    <row r="424" spans="1:10" x14ac:dyDescent="0.3">
      <c r="A424" t="s">
        <v>454</v>
      </c>
      <c r="B424" s="1">
        <v>43290</v>
      </c>
      <c r="C424" t="s">
        <v>15</v>
      </c>
      <c r="D424" t="s">
        <v>27</v>
      </c>
      <c r="E424">
        <v>6</v>
      </c>
      <c r="F424">
        <v>40</v>
      </c>
      <c r="G424">
        <v>240</v>
      </c>
      <c r="H424">
        <v>7.0000000000000007E-2</v>
      </c>
      <c r="I424">
        <v>16.8</v>
      </c>
      <c r="J424" t="s">
        <v>20</v>
      </c>
    </row>
    <row r="425" spans="1:10" x14ac:dyDescent="0.3">
      <c r="A425" t="s">
        <v>455</v>
      </c>
      <c r="B425" s="1">
        <v>43290</v>
      </c>
      <c r="C425" t="s">
        <v>11</v>
      </c>
      <c r="D425" t="s">
        <v>24</v>
      </c>
      <c r="E425">
        <v>6</v>
      </c>
      <c r="F425">
        <v>80</v>
      </c>
      <c r="G425">
        <v>480</v>
      </c>
      <c r="H425">
        <v>0.01</v>
      </c>
      <c r="I425">
        <v>4.8</v>
      </c>
      <c r="J425" t="s">
        <v>22</v>
      </c>
    </row>
    <row r="426" spans="1:10" x14ac:dyDescent="0.3">
      <c r="A426" t="s">
        <v>456</v>
      </c>
      <c r="B426" s="1">
        <v>43290</v>
      </c>
      <c r="C426" t="s">
        <v>30</v>
      </c>
      <c r="D426" t="s">
        <v>16</v>
      </c>
      <c r="E426">
        <v>22</v>
      </c>
      <c r="F426">
        <v>16</v>
      </c>
      <c r="G426">
        <v>352</v>
      </c>
      <c r="H426">
        <v>0.01</v>
      </c>
      <c r="I426">
        <v>3.52</v>
      </c>
      <c r="J426" t="s">
        <v>25</v>
      </c>
    </row>
    <row r="427" spans="1:10" x14ac:dyDescent="0.3">
      <c r="A427" t="s">
        <v>457</v>
      </c>
      <c r="B427" s="1">
        <v>43290</v>
      </c>
      <c r="C427" t="s">
        <v>19</v>
      </c>
      <c r="D427" t="s">
        <v>27</v>
      </c>
      <c r="E427">
        <v>7</v>
      </c>
      <c r="F427">
        <v>230</v>
      </c>
      <c r="G427">
        <v>1610</v>
      </c>
      <c r="H427">
        <v>0.06</v>
      </c>
      <c r="I427">
        <v>96.6</v>
      </c>
      <c r="J427" t="s">
        <v>28</v>
      </c>
    </row>
    <row r="428" spans="1:10" x14ac:dyDescent="0.3">
      <c r="A428" t="s">
        <v>458</v>
      </c>
      <c r="B428" s="1">
        <v>43291</v>
      </c>
      <c r="C428" t="s">
        <v>30</v>
      </c>
      <c r="D428" t="s">
        <v>27</v>
      </c>
      <c r="E428">
        <v>22</v>
      </c>
      <c r="F428">
        <v>16</v>
      </c>
      <c r="G428">
        <v>352</v>
      </c>
      <c r="H428">
        <v>0.03</v>
      </c>
      <c r="I428">
        <v>10.56</v>
      </c>
      <c r="J428" t="s">
        <v>32</v>
      </c>
    </row>
    <row r="429" spans="1:10" x14ac:dyDescent="0.3">
      <c r="A429" t="s">
        <v>459</v>
      </c>
      <c r="B429" s="1">
        <v>43291</v>
      </c>
      <c r="C429" t="s">
        <v>15</v>
      </c>
      <c r="D429" t="s">
        <v>31</v>
      </c>
      <c r="E429">
        <v>20</v>
      </c>
      <c r="F429">
        <v>40</v>
      </c>
      <c r="G429">
        <v>800</v>
      </c>
      <c r="H429">
        <v>0.05</v>
      </c>
      <c r="I429">
        <v>40</v>
      </c>
      <c r="J429" t="s">
        <v>35</v>
      </c>
    </row>
    <row r="430" spans="1:10" x14ac:dyDescent="0.3">
      <c r="A430" t="s">
        <v>460</v>
      </c>
      <c r="B430" s="1">
        <v>43291</v>
      </c>
      <c r="C430" t="s">
        <v>15</v>
      </c>
      <c r="D430" t="s">
        <v>16</v>
      </c>
      <c r="E430">
        <v>19</v>
      </c>
      <c r="F430">
        <v>40</v>
      </c>
      <c r="G430">
        <v>760</v>
      </c>
      <c r="H430">
        <v>0.1</v>
      </c>
      <c r="I430">
        <v>76</v>
      </c>
      <c r="J430" t="s">
        <v>37</v>
      </c>
    </row>
    <row r="431" spans="1:10" x14ac:dyDescent="0.3">
      <c r="A431" t="s">
        <v>461</v>
      </c>
      <c r="B431" s="1">
        <v>43291</v>
      </c>
      <c r="C431" t="s">
        <v>30</v>
      </c>
      <c r="D431" t="s">
        <v>12</v>
      </c>
      <c r="E431">
        <v>18</v>
      </c>
      <c r="F431">
        <v>16</v>
      </c>
      <c r="G431">
        <v>288</v>
      </c>
      <c r="H431">
        <v>0.05</v>
      </c>
      <c r="I431">
        <v>14.4</v>
      </c>
      <c r="J431" t="s">
        <v>39</v>
      </c>
    </row>
    <row r="432" spans="1:10" x14ac:dyDescent="0.3">
      <c r="A432" t="s">
        <v>462</v>
      </c>
      <c r="B432" s="1">
        <v>43291</v>
      </c>
      <c r="C432" t="s">
        <v>15</v>
      </c>
      <c r="D432" t="s">
        <v>24</v>
      </c>
      <c r="E432">
        <v>2</v>
      </c>
      <c r="F432">
        <v>40</v>
      </c>
      <c r="G432">
        <v>80</v>
      </c>
      <c r="H432">
        <v>0.02</v>
      </c>
      <c r="I432">
        <v>1.6</v>
      </c>
      <c r="J432" t="s">
        <v>41</v>
      </c>
    </row>
    <row r="433" spans="1:10" x14ac:dyDescent="0.3">
      <c r="A433" t="s">
        <v>463</v>
      </c>
      <c r="B433" s="1">
        <v>43291</v>
      </c>
      <c r="C433" t="s">
        <v>15</v>
      </c>
      <c r="D433" t="s">
        <v>27</v>
      </c>
      <c r="E433">
        <v>7</v>
      </c>
      <c r="F433">
        <v>40</v>
      </c>
      <c r="G433">
        <v>280</v>
      </c>
      <c r="H433">
        <v>7.0000000000000007E-2</v>
      </c>
      <c r="I433">
        <v>19.600000000000001</v>
      </c>
      <c r="J433" t="s">
        <v>43</v>
      </c>
    </row>
    <row r="434" spans="1:10" x14ac:dyDescent="0.3">
      <c r="A434" t="s">
        <v>464</v>
      </c>
      <c r="B434" s="1">
        <v>43291</v>
      </c>
      <c r="C434" t="s">
        <v>34</v>
      </c>
      <c r="D434" t="s">
        <v>24</v>
      </c>
      <c r="E434">
        <v>11</v>
      </c>
      <c r="F434">
        <v>150</v>
      </c>
      <c r="G434">
        <v>1650</v>
      </c>
      <c r="H434">
        <v>0.05</v>
      </c>
      <c r="I434">
        <v>82.5</v>
      </c>
      <c r="J434" t="s">
        <v>13</v>
      </c>
    </row>
    <row r="435" spans="1:10" x14ac:dyDescent="0.3">
      <c r="A435" t="s">
        <v>465</v>
      </c>
      <c r="B435" s="1">
        <v>43291</v>
      </c>
      <c r="C435" t="s">
        <v>11</v>
      </c>
      <c r="D435" t="s">
        <v>16</v>
      </c>
      <c r="E435">
        <v>14</v>
      </c>
      <c r="F435">
        <v>80</v>
      </c>
      <c r="G435">
        <v>1120</v>
      </c>
      <c r="H435">
        <v>0.11</v>
      </c>
      <c r="I435">
        <v>123.2</v>
      </c>
      <c r="J435" t="s">
        <v>17</v>
      </c>
    </row>
    <row r="436" spans="1:10" x14ac:dyDescent="0.3">
      <c r="A436" t="s">
        <v>466</v>
      </c>
      <c r="B436" s="1">
        <v>43291</v>
      </c>
      <c r="C436" t="s">
        <v>15</v>
      </c>
      <c r="D436" t="s">
        <v>31</v>
      </c>
      <c r="E436">
        <v>7</v>
      </c>
      <c r="F436">
        <v>40</v>
      </c>
      <c r="G436">
        <v>280</v>
      </c>
      <c r="H436">
        <v>0.04</v>
      </c>
      <c r="I436">
        <v>11.2</v>
      </c>
      <c r="J436" t="s">
        <v>20</v>
      </c>
    </row>
    <row r="437" spans="1:10" x14ac:dyDescent="0.3">
      <c r="A437" t="s">
        <v>467</v>
      </c>
      <c r="B437" s="1">
        <v>43291</v>
      </c>
      <c r="C437" t="s">
        <v>11</v>
      </c>
      <c r="D437" t="s">
        <v>27</v>
      </c>
      <c r="E437">
        <v>14</v>
      </c>
      <c r="F437">
        <v>80</v>
      </c>
      <c r="G437">
        <v>1120</v>
      </c>
      <c r="H437">
        <v>0.05</v>
      </c>
      <c r="I437">
        <v>56</v>
      </c>
      <c r="J437" t="s">
        <v>22</v>
      </c>
    </row>
    <row r="438" spans="1:10" x14ac:dyDescent="0.3">
      <c r="A438" t="s">
        <v>468</v>
      </c>
      <c r="B438" s="1">
        <v>43292</v>
      </c>
      <c r="C438" t="s">
        <v>30</v>
      </c>
      <c r="D438" t="s">
        <v>24</v>
      </c>
      <c r="E438">
        <v>12</v>
      </c>
      <c r="F438">
        <v>16</v>
      </c>
      <c r="G438">
        <v>192</v>
      </c>
      <c r="H438">
        <v>0.11</v>
      </c>
      <c r="I438">
        <v>21.12</v>
      </c>
      <c r="J438" t="s">
        <v>25</v>
      </c>
    </row>
    <row r="439" spans="1:10" x14ac:dyDescent="0.3">
      <c r="A439" t="s">
        <v>469</v>
      </c>
      <c r="B439" s="1">
        <v>43292</v>
      </c>
      <c r="C439" t="s">
        <v>15</v>
      </c>
      <c r="D439" t="s">
        <v>31</v>
      </c>
      <c r="E439">
        <v>11</v>
      </c>
      <c r="F439">
        <v>40</v>
      </c>
      <c r="G439">
        <v>440</v>
      </c>
      <c r="H439">
        <v>0.05</v>
      </c>
      <c r="I439">
        <v>22</v>
      </c>
      <c r="J439" t="s">
        <v>28</v>
      </c>
    </row>
    <row r="440" spans="1:10" x14ac:dyDescent="0.3">
      <c r="A440" t="s">
        <v>470</v>
      </c>
      <c r="B440" s="1">
        <v>43292</v>
      </c>
      <c r="C440" t="s">
        <v>30</v>
      </c>
      <c r="D440" t="s">
        <v>24</v>
      </c>
      <c r="E440">
        <v>14</v>
      </c>
      <c r="F440">
        <v>16</v>
      </c>
      <c r="G440">
        <v>224</v>
      </c>
      <c r="H440">
        <v>0.01</v>
      </c>
      <c r="I440">
        <v>2.2400000000000002</v>
      </c>
      <c r="J440" t="s">
        <v>32</v>
      </c>
    </row>
    <row r="441" spans="1:10" x14ac:dyDescent="0.3">
      <c r="A441" t="s">
        <v>471</v>
      </c>
      <c r="B441" s="1">
        <v>43292</v>
      </c>
      <c r="C441" t="s">
        <v>19</v>
      </c>
      <c r="D441" t="s">
        <v>27</v>
      </c>
      <c r="E441">
        <v>2</v>
      </c>
      <c r="F441">
        <v>230</v>
      </c>
      <c r="G441">
        <v>460</v>
      </c>
      <c r="H441">
        <v>0.08</v>
      </c>
      <c r="I441">
        <v>36.799999999999997</v>
      </c>
      <c r="J441" t="s">
        <v>35</v>
      </c>
    </row>
    <row r="442" spans="1:10" x14ac:dyDescent="0.3">
      <c r="A442" t="s">
        <v>472</v>
      </c>
      <c r="B442" s="1">
        <v>43292</v>
      </c>
      <c r="C442" t="s">
        <v>30</v>
      </c>
      <c r="D442" t="s">
        <v>12</v>
      </c>
      <c r="E442">
        <v>20</v>
      </c>
      <c r="F442">
        <v>16</v>
      </c>
      <c r="G442">
        <v>320</v>
      </c>
      <c r="H442">
        <v>0.11</v>
      </c>
      <c r="I442">
        <v>35.200000000000003</v>
      </c>
      <c r="J442" t="s">
        <v>37</v>
      </c>
    </row>
    <row r="443" spans="1:10" x14ac:dyDescent="0.3">
      <c r="A443" t="s">
        <v>473</v>
      </c>
      <c r="B443" s="1">
        <v>43292</v>
      </c>
      <c r="C443" t="s">
        <v>30</v>
      </c>
      <c r="D443" t="s">
        <v>24</v>
      </c>
      <c r="E443">
        <v>6</v>
      </c>
      <c r="F443">
        <v>16</v>
      </c>
      <c r="G443">
        <v>96</v>
      </c>
      <c r="H443">
        <v>0.06</v>
      </c>
      <c r="I443">
        <v>5.76</v>
      </c>
      <c r="J443" t="s">
        <v>39</v>
      </c>
    </row>
    <row r="444" spans="1:10" x14ac:dyDescent="0.3">
      <c r="A444" t="s">
        <v>474</v>
      </c>
      <c r="B444" s="1">
        <v>43292</v>
      </c>
      <c r="C444" t="s">
        <v>11</v>
      </c>
      <c r="D444" t="s">
        <v>27</v>
      </c>
      <c r="E444">
        <v>17</v>
      </c>
      <c r="F444">
        <v>80</v>
      </c>
      <c r="G444">
        <v>1360</v>
      </c>
      <c r="H444">
        <v>0.05</v>
      </c>
      <c r="I444">
        <v>68</v>
      </c>
      <c r="J444" t="s">
        <v>41</v>
      </c>
    </row>
    <row r="445" spans="1:10" x14ac:dyDescent="0.3">
      <c r="A445" t="s">
        <v>475</v>
      </c>
      <c r="B445" s="1">
        <v>43292</v>
      </c>
      <c r="C445" t="s">
        <v>15</v>
      </c>
      <c r="D445" t="s">
        <v>12</v>
      </c>
      <c r="E445">
        <v>2</v>
      </c>
      <c r="F445">
        <v>40</v>
      </c>
      <c r="G445">
        <v>80</v>
      </c>
      <c r="H445">
        <v>0.12</v>
      </c>
      <c r="I445">
        <v>9.6</v>
      </c>
      <c r="J445" t="s">
        <v>43</v>
      </c>
    </row>
    <row r="446" spans="1:10" x14ac:dyDescent="0.3">
      <c r="A446" t="s">
        <v>476</v>
      </c>
      <c r="B446" s="1">
        <v>43292</v>
      </c>
      <c r="C446" t="s">
        <v>30</v>
      </c>
      <c r="D446" t="s">
        <v>12</v>
      </c>
      <c r="E446">
        <v>7</v>
      </c>
      <c r="F446">
        <v>16</v>
      </c>
      <c r="G446">
        <v>112</v>
      </c>
      <c r="H446">
        <v>0.12</v>
      </c>
      <c r="I446">
        <v>13.44</v>
      </c>
      <c r="J446" t="s">
        <v>13</v>
      </c>
    </row>
    <row r="447" spans="1:10" x14ac:dyDescent="0.3">
      <c r="A447" t="s">
        <v>477</v>
      </c>
      <c r="B447" s="1">
        <v>43292</v>
      </c>
      <c r="C447" t="s">
        <v>34</v>
      </c>
      <c r="D447" t="s">
        <v>12</v>
      </c>
      <c r="E447">
        <v>7</v>
      </c>
      <c r="F447">
        <v>150</v>
      </c>
      <c r="G447">
        <v>1050</v>
      </c>
      <c r="H447">
        <v>0.02</v>
      </c>
      <c r="I447">
        <v>21</v>
      </c>
      <c r="J447" t="s">
        <v>17</v>
      </c>
    </row>
    <row r="448" spans="1:10" x14ac:dyDescent="0.3">
      <c r="A448" t="s">
        <v>478</v>
      </c>
      <c r="B448" s="1">
        <v>43292</v>
      </c>
      <c r="C448" t="s">
        <v>11</v>
      </c>
      <c r="D448" t="s">
        <v>12</v>
      </c>
      <c r="E448">
        <v>20</v>
      </c>
      <c r="F448">
        <v>80</v>
      </c>
      <c r="G448">
        <v>1600</v>
      </c>
      <c r="H448">
        <v>0.01</v>
      </c>
      <c r="I448">
        <v>16</v>
      </c>
      <c r="J448" t="s">
        <v>20</v>
      </c>
    </row>
    <row r="449" spans="1:10" x14ac:dyDescent="0.3">
      <c r="A449" t="s">
        <v>479</v>
      </c>
      <c r="B449" s="1">
        <v>43292</v>
      </c>
      <c r="C449" t="s">
        <v>11</v>
      </c>
      <c r="D449" t="s">
        <v>27</v>
      </c>
      <c r="E449">
        <v>11</v>
      </c>
      <c r="F449">
        <v>80</v>
      </c>
      <c r="G449">
        <v>880</v>
      </c>
      <c r="H449">
        <v>0.01</v>
      </c>
      <c r="I449">
        <v>8.8000000000000007</v>
      </c>
      <c r="J449" t="s">
        <v>22</v>
      </c>
    </row>
    <row r="450" spans="1:10" x14ac:dyDescent="0.3">
      <c r="A450" t="s">
        <v>480</v>
      </c>
      <c r="B450" s="1">
        <v>43292</v>
      </c>
      <c r="C450" t="s">
        <v>11</v>
      </c>
      <c r="D450" t="s">
        <v>24</v>
      </c>
      <c r="E450">
        <v>10</v>
      </c>
      <c r="F450">
        <v>80</v>
      </c>
      <c r="G450">
        <v>800</v>
      </c>
      <c r="H450">
        <v>0.08</v>
      </c>
      <c r="I450">
        <v>64</v>
      </c>
      <c r="J450" t="s">
        <v>25</v>
      </c>
    </row>
    <row r="451" spans="1:10" x14ac:dyDescent="0.3">
      <c r="A451" t="s">
        <v>481</v>
      </c>
      <c r="B451" s="1">
        <v>43293</v>
      </c>
      <c r="C451" t="s">
        <v>11</v>
      </c>
      <c r="D451" t="s">
        <v>16</v>
      </c>
      <c r="E451">
        <v>5</v>
      </c>
      <c r="F451">
        <v>80</v>
      </c>
      <c r="G451">
        <v>400</v>
      </c>
      <c r="H451">
        <v>0.04</v>
      </c>
      <c r="I451">
        <v>16</v>
      </c>
      <c r="J451" t="s">
        <v>28</v>
      </c>
    </row>
    <row r="452" spans="1:10" x14ac:dyDescent="0.3">
      <c r="A452" t="s">
        <v>482</v>
      </c>
      <c r="B452" s="1">
        <v>43293</v>
      </c>
      <c r="C452" t="s">
        <v>11</v>
      </c>
      <c r="D452" t="s">
        <v>27</v>
      </c>
      <c r="E452">
        <v>4</v>
      </c>
      <c r="F452">
        <v>80</v>
      </c>
      <c r="G452">
        <v>320</v>
      </c>
      <c r="H452">
        <v>0.11</v>
      </c>
      <c r="I452">
        <v>35.200000000000003</v>
      </c>
      <c r="J452" t="s">
        <v>32</v>
      </c>
    </row>
    <row r="453" spans="1:10" x14ac:dyDescent="0.3">
      <c r="A453" t="s">
        <v>483</v>
      </c>
      <c r="B453" s="1">
        <v>43293</v>
      </c>
      <c r="C453" t="s">
        <v>30</v>
      </c>
      <c r="D453" t="s">
        <v>24</v>
      </c>
      <c r="E453">
        <v>3</v>
      </c>
      <c r="F453">
        <v>16</v>
      </c>
      <c r="G453">
        <v>48</v>
      </c>
      <c r="H453">
        <v>0.05</v>
      </c>
      <c r="I453">
        <v>2.4</v>
      </c>
      <c r="J453" t="s">
        <v>35</v>
      </c>
    </row>
    <row r="454" spans="1:10" x14ac:dyDescent="0.3">
      <c r="A454" t="s">
        <v>484</v>
      </c>
      <c r="B454" s="1">
        <v>43293</v>
      </c>
      <c r="C454" t="s">
        <v>11</v>
      </c>
      <c r="D454" t="s">
        <v>12</v>
      </c>
      <c r="E454">
        <v>9</v>
      </c>
      <c r="F454">
        <v>80</v>
      </c>
      <c r="G454">
        <v>720</v>
      </c>
      <c r="H454">
        <v>0.04</v>
      </c>
      <c r="I454">
        <v>28.8</v>
      </c>
      <c r="J454" t="s">
        <v>37</v>
      </c>
    </row>
    <row r="455" spans="1:10" x14ac:dyDescent="0.3">
      <c r="A455" t="s">
        <v>485</v>
      </c>
      <c r="B455" s="1">
        <v>43293</v>
      </c>
      <c r="C455" t="s">
        <v>11</v>
      </c>
      <c r="D455" t="s">
        <v>31</v>
      </c>
      <c r="E455">
        <v>16</v>
      </c>
      <c r="F455">
        <v>80</v>
      </c>
      <c r="G455">
        <v>1280</v>
      </c>
      <c r="H455">
        <v>0.09</v>
      </c>
      <c r="I455">
        <v>115.2</v>
      </c>
      <c r="J455" t="s">
        <v>39</v>
      </c>
    </row>
    <row r="456" spans="1:10" x14ac:dyDescent="0.3">
      <c r="A456" t="s">
        <v>486</v>
      </c>
      <c r="B456" s="1">
        <v>43294</v>
      </c>
      <c r="C456" t="s">
        <v>30</v>
      </c>
      <c r="D456" t="s">
        <v>16</v>
      </c>
      <c r="E456">
        <v>7</v>
      </c>
      <c r="F456">
        <v>16</v>
      </c>
      <c r="G456">
        <v>112</v>
      </c>
      <c r="H456">
        <v>0.08</v>
      </c>
      <c r="I456">
        <v>8.9600000000000009</v>
      </c>
      <c r="J456" t="s">
        <v>41</v>
      </c>
    </row>
    <row r="457" spans="1:10" x14ac:dyDescent="0.3">
      <c r="A457" t="s">
        <v>487</v>
      </c>
      <c r="B457" s="1">
        <v>43294</v>
      </c>
      <c r="C457" t="s">
        <v>34</v>
      </c>
      <c r="D457" t="s">
        <v>16</v>
      </c>
      <c r="E457">
        <v>16</v>
      </c>
      <c r="F457">
        <v>150</v>
      </c>
      <c r="G457">
        <v>2400</v>
      </c>
      <c r="H457">
        <v>0.05</v>
      </c>
      <c r="I457">
        <v>120</v>
      </c>
      <c r="J457" t="s">
        <v>43</v>
      </c>
    </row>
    <row r="458" spans="1:10" x14ac:dyDescent="0.3">
      <c r="A458" t="s">
        <v>488</v>
      </c>
      <c r="B458" s="1">
        <v>43294</v>
      </c>
      <c r="C458" t="s">
        <v>30</v>
      </c>
      <c r="D458" t="s">
        <v>27</v>
      </c>
      <c r="E458">
        <v>10</v>
      </c>
      <c r="F458">
        <v>16</v>
      </c>
      <c r="G458">
        <v>160</v>
      </c>
      <c r="H458">
        <v>0.04</v>
      </c>
      <c r="I458">
        <v>6.4</v>
      </c>
      <c r="J458" t="s">
        <v>13</v>
      </c>
    </row>
    <row r="459" spans="1:10" x14ac:dyDescent="0.3">
      <c r="A459" t="s">
        <v>489</v>
      </c>
      <c r="B459" s="1">
        <v>43294</v>
      </c>
      <c r="C459" t="s">
        <v>15</v>
      </c>
      <c r="D459" t="s">
        <v>16</v>
      </c>
      <c r="E459">
        <v>4</v>
      </c>
      <c r="F459">
        <v>40</v>
      </c>
      <c r="G459">
        <v>160</v>
      </c>
      <c r="H459">
        <v>0.03</v>
      </c>
      <c r="I459">
        <v>4.8</v>
      </c>
      <c r="J459" t="s">
        <v>17</v>
      </c>
    </row>
    <row r="460" spans="1:10" x14ac:dyDescent="0.3">
      <c r="A460" t="s">
        <v>490</v>
      </c>
      <c r="B460" s="1">
        <v>43294</v>
      </c>
      <c r="C460" t="s">
        <v>15</v>
      </c>
      <c r="D460" t="s">
        <v>16</v>
      </c>
      <c r="E460">
        <v>15</v>
      </c>
      <c r="F460">
        <v>40</v>
      </c>
      <c r="G460">
        <v>600</v>
      </c>
      <c r="H460">
        <v>0.02</v>
      </c>
      <c r="I460">
        <v>12</v>
      </c>
      <c r="J460" t="s">
        <v>20</v>
      </c>
    </row>
    <row r="461" spans="1:10" x14ac:dyDescent="0.3">
      <c r="A461" t="s">
        <v>491</v>
      </c>
      <c r="B461" s="1">
        <v>43294</v>
      </c>
      <c r="C461" t="s">
        <v>11</v>
      </c>
      <c r="D461" t="s">
        <v>24</v>
      </c>
      <c r="E461">
        <v>6</v>
      </c>
      <c r="F461">
        <v>80</v>
      </c>
      <c r="G461">
        <v>480</v>
      </c>
      <c r="H461">
        <v>0.09</v>
      </c>
      <c r="I461">
        <v>43.2</v>
      </c>
      <c r="J461" t="s">
        <v>22</v>
      </c>
    </row>
    <row r="462" spans="1:10" x14ac:dyDescent="0.3">
      <c r="A462" t="s">
        <v>492</v>
      </c>
      <c r="B462" s="1">
        <v>43294</v>
      </c>
      <c r="C462" t="s">
        <v>34</v>
      </c>
      <c r="D462" t="s">
        <v>12</v>
      </c>
      <c r="E462">
        <v>20</v>
      </c>
      <c r="F462">
        <v>150</v>
      </c>
      <c r="G462">
        <v>3000</v>
      </c>
      <c r="H462">
        <v>0.01</v>
      </c>
      <c r="I462">
        <v>30</v>
      </c>
      <c r="J462" t="s">
        <v>25</v>
      </c>
    </row>
    <row r="463" spans="1:10" x14ac:dyDescent="0.3">
      <c r="A463" t="s">
        <v>493</v>
      </c>
      <c r="B463" s="1">
        <v>43294</v>
      </c>
      <c r="C463" t="s">
        <v>30</v>
      </c>
      <c r="D463" t="s">
        <v>12</v>
      </c>
      <c r="E463">
        <v>7</v>
      </c>
      <c r="F463">
        <v>16</v>
      </c>
      <c r="G463">
        <v>112</v>
      </c>
      <c r="H463">
        <v>0.08</v>
      </c>
      <c r="I463">
        <v>8.9600000000000009</v>
      </c>
      <c r="J463" t="s">
        <v>28</v>
      </c>
    </row>
    <row r="464" spans="1:10" x14ac:dyDescent="0.3">
      <c r="A464" t="s">
        <v>494</v>
      </c>
      <c r="B464" s="1">
        <v>43294</v>
      </c>
      <c r="C464" t="s">
        <v>11</v>
      </c>
      <c r="D464" t="s">
        <v>16</v>
      </c>
      <c r="E464">
        <v>2</v>
      </c>
      <c r="F464">
        <v>80</v>
      </c>
      <c r="G464">
        <v>160</v>
      </c>
      <c r="H464">
        <v>7.0000000000000007E-2</v>
      </c>
      <c r="I464">
        <v>11.2</v>
      </c>
      <c r="J464" t="s">
        <v>32</v>
      </c>
    </row>
    <row r="465" spans="1:10" x14ac:dyDescent="0.3">
      <c r="A465" t="s">
        <v>495</v>
      </c>
      <c r="B465" s="1">
        <v>43294</v>
      </c>
      <c r="C465" t="s">
        <v>15</v>
      </c>
      <c r="D465" t="s">
        <v>16</v>
      </c>
      <c r="E465">
        <v>23</v>
      </c>
      <c r="F465">
        <v>40</v>
      </c>
      <c r="G465">
        <v>920</v>
      </c>
      <c r="H465">
        <v>0.06</v>
      </c>
      <c r="I465">
        <v>55.2</v>
      </c>
      <c r="J465" t="s">
        <v>35</v>
      </c>
    </row>
    <row r="466" spans="1:10" x14ac:dyDescent="0.3">
      <c r="A466" t="s">
        <v>496</v>
      </c>
      <c r="B466" s="1">
        <v>43294</v>
      </c>
      <c r="C466" t="s">
        <v>30</v>
      </c>
      <c r="D466" t="s">
        <v>12</v>
      </c>
      <c r="E466">
        <v>12</v>
      </c>
      <c r="F466">
        <v>16</v>
      </c>
      <c r="G466">
        <v>192</v>
      </c>
      <c r="H466">
        <v>0.11</v>
      </c>
      <c r="I466">
        <v>21.12</v>
      </c>
      <c r="J466" t="s">
        <v>37</v>
      </c>
    </row>
    <row r="467" spans="1:10" x14ac:dyDescent="0.3">
      <c r="A467" t="s">
        <v>497</v>
      </c>
      <c r="B467" s="1">
        <v>43294</v>
      </c>
      <c r="C467" t="s">
        <v>19</v>
      </c>
      <c r="D467" t="s">
        <v>27</v>
      </c>
      <c r="E467">
        <v>2</v>
      </c>
      <c r="F467">
        <v>230</v>
      </c>
      <c r="G467">
        <v>460</v>
      </c>
      <c r="H467">
        <v>0.09</v>
      </c>
      <c r="I467">
        <v>41.4</v>
      </c>
      <c r="J467" t="s">
        <v>39</v>
      </c>
    </row>
    <row r="468" spans="1:10" x14ac:dyDescent="0.3">
      <c r="A468" t="s">
        <v>498</v>
      </c>
      <c r="B468" s="1">
        <v>43294</v>
      </c>
      <c r="C468" t="s">
        <v>34</v>
      </c>
      <c r="D468" t="s">
        <v>12</v>
      </c>
      <c r="E468">
        <v>4</v>
      </c>
      <c r="F468">
        <v>150</v>
      </c>
      <c r="G468">
        <v>600</v>
      </c>
      <c r="H468">
        <v>0.06</v>
      </c>
      <c r="I468">
        <v>36</v>
      </c>
      <c r="J468" t="s">
        <v>41</v>
      </c>
    </row>
    <row r="469" spans="1:10" x14ac:dyDescent="0.3">
      <c r="A469" t="s">
        <v>499</v>
      </c>
      <c r="B469" s="1">
        <v>43294</v>
      </c>
      <c r="C469" t="s">
        <v>15</v>
      </c>
      <c r="D469" t="s">
        <v>12</v>
      </c>
      <c r="E469">
        <v>23</v>
      </c>
      <c r="F469">
        <v>40</v>
      </c>
      <c r="G469">
        <v>920</v>
      </c>
      <c r="H469">
        <v>7.0000000000000007E-2</v>
      </c>
      <c r="I469">
        <v>64.400000000000006</v>
      </c>
      <c r="J469" t="s">
        <v>43</v>
      </c>
    </row>
    <row r="470" spans="1:10" x14ac:dyDescent="0.3">
      <c r="A470" t="s">
        <v>500</v>
      </c>
      <c r="B470" s="1">
        <v>43294</v>
      </c>
      <c r="C470" t="s">
        <v>30</v>
      </c>
      <c r="D470" t="s">
        <v>31</v>
      </c>
      <c r="E470">
        <v>2</v>
      </c>
      <c r="F470">
        <v>16</v>
      </c>
      <c r="G470">
        <v>32</v>
      </c>
      <c r="H470">
        <v>0.04</v>
      </c>
      <c r="I470">
        <v>1.28</v>
      </c>
      <c r="J470" t="s">
        <v>13</v>
      </c>
    </row>
    <row r="471" spans="1:10" x14ac:dyDescent="0.3">
      <c r="A471" t="s">
        <v>501</v>
      </c>
      <c r="B471" s="1">
        <v>43294</v>
      </c>
      <c r="C471" t="s">
        <v>34</v>
      </c>
      <c r="D471" t="s">
        <v>27</v>
      </c>
      <c r="E471">
        <v>7</v>
      </c>
      <c r="F471">
        <v>150</v>
      </c>
      <c r="G471">
        <v>1050</v>
      </c>
      <c r="H471">
        <v>0.05</v>
      </c>
      <c r="I471">
        <v>52.5</v>
      </c>
      <c r="J471" t="s">
        <v>17</v>
      </c>
    </row>
    <row r="472" spans="1:10" x14ac:dyDescent="0.3">
      <c r="A472" t="s">
        <v>502</v>
      </c>
      <c r="B472" s="1">
        <v>43295</v>
      </c>
      <c r="C472" t="s">
        <v>15</v>
      </c>
      <c r="D472" t="s">
        <v>12</v>
      </c>
      <c r="E472">
        <v>15</v>
      </c>
      <c r="F472">
        <v>40</v>
      </c>
      <c r="G472">
        <v>600</v>
      </c>
      <c r="H472">
        <v>0.06</v>
      </c>
      <c r="I472">
        <v>36</v>
      </c>
      <c r="J472" t="s">
        <v>20</v>
      </c>
    </row>
    <row r="473" spans="1:10" x14ac:dyDescent="0.3">
      <c r="A473" t="s">
        <v>503</v>
      </c>
      <c r="B473" s="1">
        <v>43295</v>
      </c>
      <c r="C473" t="s">
        <v>11</v>
      </c>
      <c r="D473" t="s">
        <v>27</v>
      </c>
      <c r="E473">
        <v>16</v>
      </c>
      <c r="F473">
        <v>80</v>
      </c>
      <c r="G473">
        <v>1280</v>
      </c>
      <c r="H473">
        <v>0.05</v>
      </c>
      <c r="I473">
        <v>64</v>
      </c>
      <c r="J473" t="s">
        <v>22</v>
      </c>
    </row>
    <row r="474" spans="1:10" x14ac:dyDescent="0.3">
      <c r="A474" t="s">
        <v>504</v>
      </c>
      <c r="B474" s="1">
        <v>43295</v>
      </c>
      <c r="C474" t="s">
        <v>15</v>
      </c>
      <c r="D474" t="s">
        <v>31</v>
      </c>
      <c r="E474">
        <v>16</v>
      </c>
      <c r="F474">
        <v>40</v>
      </c>
      <c r="G474">
        <v>640</v>
      </c>
      <c r="H474">
        <v>0.11</v>
      </c>
      <c r="I474">
        <v>70.400000000000006</v>
      </c>
      <c r="J474" t="s">
        <v>25</v>
      </c>
    </row>
    <row r="475" spans="1:10" x14ac:dyDescent="0.3">
      <c r="A475" t="s">
        <v>505</v>
      </c>
      <c r="B475" s="1">
        <v>43295</v>
      </c>
      <c r="C475" t="s">
        <v>30</v>
      </c>
      <c r="D475" t="s">
        <v>31</v>
      </c>
      <c r="E475">
        <v>23</v>
      </c>
      <c r="F475">
        <v>16</v>
      </c>
      <c r="G475">
        <v>368</v>
      </c>
      <c r="H475">
        <v>0.01</v>
      </c>
      <c r="I475">
        <v>3.68</v>
      </c>
      <c r="J475" t="s">
        <v>28</v>
      </c>
    </row>
    <row r="476" spans="1:10" x14ac:dyDescent="0.3">
      <c r="A476" t="s">
        <v>506</v>
      </c>
      <c r="B476" s="1">
        <v>43295</v>
      </c>
      <c r="C476" t="s">
        <v>19</v>
      </c>
      <c r="D476" t="s">
        <v>16</v>
      </c>
      <c r="E476">
        <v>12</v>
      </c>
      <c r="F476">
        <v>230</v>
      </c>
      <c r="G476">
        <v>2760</v>
      </c>
      <c r="H476">
        <v>0.03</v>
      </c>
      <c r="I476">
        <v>82.8</v>
      </c>
      <c r="J476" t="s">
        <v>32</v>
      </c>
    </row>
    <row r="477" spans="1:10" x14ac:dyDescent="0.3">
      <c r="A477" t="s">
        <v>507</v>
      </c>
      <c r="B477" s="1">
        <v>43295</v>
      </c>
      <c r="C477" t="s">
        <v>30</v>
      </c>
      <c r="D477" t="s">
        <v>12</v>
      </c>
      <c r="E477">
        <v>4</v>
      </c>
      <c r="F477">
        <v>16</v>
      </c>
      <c r="G477">
        <v>64</v>
      </c>
      <c r="H477">
        <v>0.12</v>
      </c>
      <c r="I477">
        <v>7.68</v>
      </c>
      <c r="J477" t="s">
        <v>35</v>
      </c>
    </row>
    <row r="478" spans="1:10" x14ac:dyDescent="0.3">
      <c r="A478" t="s">
        <v>508</v>
      </c>
      <c r="B478" s="1">
        <v>43295</v>
      </c>
      <c r="C478" t="s">
        <v>34</v>
      </c>
      <c r="D478" t="s">
        <v>27</v>
      </c>
      <c r="E478">
        <v>3</v>
      </c>
      <c r="F478">
        <v>150</v>
      </c>
      <c r="G478">
        <v>450</v>
      </c>
      <c r="H478">
        <v>0.01</v>
      </c>
      <c r="I478">
        <v>4.5</v>
      </c>
      <c r="J478" t="s">
        <v>37</v>
      </c>
    </row>
    <row r="479" spans="1:10" x14ac:dyDescent="0.3">
      <c r="A479" t="s">
        <v>509</v>
      </c>
      <c r="B479" s="1">
        <v>43295</v>
      </c>
      <c r="C479" t="s">
        <v>34</v>
      </c>
      <c r="D479" t="s">
        <v>16</v>
      </c>
      <c r="E479">
        <v>10</v>
      </c>
      <c r="F479">
        <v>150</v>
      </c>
      <c r="G479">
        <v>1500</v>
      </c>
      <c r="H479">
        <v>0.01</v>
      </c>
      <c r="I479">
        <v>15</v>
      </c>
      <c r="J479" t="s">
        <v>39</v>
      </c>
    </row>
    <row r="480" spans="1:10" x14ac:dyDescent="0.3">
      <c r="A480" t="s">
        <v>510</v>
      </c>
      <c r="B480" s="1">
        <v>43295</v>
      </c>
      <c r="C480" t="s">
        <v>11</v>
      </c>
      <c r="D480" t="s">
        <v>16</v>
      </c>
      <c r="E480">
        <v>13</v>
      </c>
      <c r="F480">
        <v>80</v>
      </c>
      <c r="G480">
        <v>1040</v>
      </c>
      <c r="H480">
        <v>0.06</v>
      </c>
      <c r="I480">
        <v>62.4</v>
      </c>
      <c r="J480" t="s">
        <v>41</v>
      </c>
    </row>
    <row r="481" spans="1:10" x14ac:dyDescent="0.3">
      <c r="A481" t="s">
        <v>511</v>
      </c>
      <c r="B481" s="1">
        <v>43295</v>
      </c>
      <c r="C481" t="s">
        <v>19</v>
      </c>
      <c r="D481" t="s">
        <v>24</v>
      </c>
      <c r="E481">
        <v>15</v>
      </c>
      <c r="F481">
        <v>230</v>
      </c>
      <c r="G481">
        <v>3450</v>
      </c>
      <c r="H481">
        <v>0.04</v>
      </c>
      <c r="I481">
        <v>138</v>
      </c>
      <c r="J481" t="s">
        <v>43</v>
      </c>
    </row>
    <row r="482" spans="1:10" x14ac:dyDescent="0.3">
      <c r="A482" t="s">
        <v>512</v>
      </c>
      <c r="B482" s="1">
        <v>43295</v>
      </c>
      <c r="C482" t="s">
        <v>34</v>
      </c>
      <c r="D482" t="s">
        <v>12</v>
      </c>
      <c r="E482">
        <v>23</v>
      </c>
      <c r="F482">
        <v>150</v>
      </c>
      <c r="G482">
        <v>3450</v>
      </c>
      <c r="H482">
        <v>0.1</v>
      </c>
      <c r="I482">
        <v>345</v>
      </c>
      <c r="J482" t="s">
        <v>13</v>
      </c>
    </row>
    <row r="483" spans="1:10" x14ac:dyDescent="0.3">
      <c r="A483" t="s">
        <v>513</v>
      </c>
      <c r="B483" s="1">
        <v>43295</v>
      </c>
      <c r="C483" t="s">
        <v>34</v>
      </c>
      <c r="D483" t="s">
        <v>16</v>
      </c>
      <c r="E483">
        <v>15</v>
      </c>
      <c r="F483">
        <v>150</v>
      </c>
      <c r="G483">
        <v>2250</v>
      </c>
      <c r="H483">
        <v>0.12</v>
      </c>
      <c r="I483">
        <v>270</v>
      </c>
      <c r="J483" t="s">
        <v>17</v>
      </c>
    </row>
    <row r="484" spans="1:10" x14ac:dyDescent="0.3">
      <c r="A484" t="s">
        <v>514</v>
      </c>
      <c r="B484" s="1">
        <v>43295</v>
      </c>
      <c r="C484" t="s">
        <v>34</v>
      </c>
      <c r="D484" t="s">
        <v>24</v>
      </c>
      <c r="E484">
        <v>20</v>
      </c>
      <c r="F484">
        <v>150</v>
      </c>
      <c r="G484">
        <v>3000</v>
      </c>
      <c r="H484">
        <v>0.12</v>
      </c>
      <c r="I484">
        <v>360</v>
      </c>
      <c r="J484" t="s">
        <v>20</v>
      </c>
    </row>
    <row r="485" spans="1:10" x14ac:dyDescent="0.3">
      <c r="A485" t="s">
        <v>515</v>
      </c>
      <c r="B485" s="1">
        <v>43295</v>
      </c>
      <c r="C485" t="s">
        <v>15</v>
      </c>
      <c r="D485" t="s">
        <v>27</v>
      </c>
      <c r="E485">
        <v>13</v>
      </c>
      <c r="F485">
        <v>40</v>
      </c>
      <c r="G485">
        <v>520</v>
      </c>
      <c r="H485">
        <v>0.09</v>
      </c>
      <c r="I485">
        <v>46.8</v>
      </c>
      <c r="J485" t="s">
        <v>22</v>
      </c>
    </row>
    <row r="486" spans="1:10" x14ac:dyDescent="0.3">
      <c r="A486" t="s">
        <v>516</v>
      </c>
      <c r="B486" s="1">
        <v>43296</v>
      </c>
      <c r="C486" t="s">
        <v>30</v>
      </c>
      <c r="D486" t="s">
        <v>24</v>
      </c>
      <c r="E486">
        <v>11</v>
      </c>
      <c r="F486">
        <v>16</v>
      </c>
      <c r="G486">
        <v>176</v>
      </c>
      <c r="H486">
        <v>0.04</v>
      </c>
      <c r="I486">
        <v>7.04</v>
      </c>
      <c r="J486" t="s">
        <v>25</v>
      </c>
    </row>
    <row r="487" spans="1:10" x14ac:dyDescent="0.3">
      <c r="A487" t="s">
        <v>517</v>
      </c>
      <c r="B487" s="1">
        <v>43296</v>
      </c>
      <c r="C487" t="s">
        <v>34</v>
      </c>
      <c r="D487" t="s">
        <v>24</v>
      </c>
      <c r="E487">
        <v>20</v>
      </c>
      <c r="F487">
        <v>150</v>
      </c>
      <c r="G487">
        <v>3000</v>
      </c>
      <c r="H487">
        <v>0.04</v>
      </c>
      <c r="I487">
        <v>120</v>
      </c>
      <c r="J487" t="s">
        <v>28</v>
      </c>
    </row>
    <row r="488" spans="1:10" x14ac:dyDescent="0.3">
      <c r="A488" t="s">
        <v>518</v>
      </c>
      <c r="B488" s="1">
        <v>43296</v>
      </c>
      <c r="C488" t="s">
        <v>15</v>
      </c>
      <c r="D488" t="s">
        <v>12</v>
      </c>
      <c r="E488">
        <v>18</v>
      </c>
      <c r="F488">
        <v>40</v>
      </c>
      <c r="G488">
        <v>720</v>
      </c>
      <c r="H488">
        <v>0.11</v>
      </c>
      <c r="I488">
        <v>79.2</v>
      </c>
      <c r="J488" t="s">
        <v>32</v>
      </c>
    </row>
    <row r="489" spans="1:10" x14ac:dyDescent="0.3">
      <c r="A489" t="s">
        <v>519</v>
      </c>
      <c r="B489" s="1">
        <v>43296</v>
      </c>
      <c r="C489" t="s">
        <v>15</v>
      </c>
      <c r="D489" t="s">
        <v>24</v>
      </c>
      <c r="E489">
        <v>2</v>
      </c>
      <c r="F489">
        <v>40</v>
      </c>
      <c r="G489">
        <v>80</v>
      </c>
      <c r="H489">
        <v>0.03</v>
      </c>
      <c r="I489">
        <v>2.4</v>
      </c>
      <c r="J489" t="s">
        <v>35</v>
      </c>
    </row>
    <row r="490" spans="1:10" x14ac:dyDescent="0.3">
      <c r="A490" t="s">
        <v>520</v>
      </c>
      <c r="B490" s="1">
        <v>43296</v>
      </c>
      <c r="C490" t="s">
        <v>30</v>
      </c>
      <c r="D490" t="s">
        <v>27</v>
      </c>
      <c r="E490">
        <v>15</v>
      </c>
      <c r="F490">
        <v>16</v>
      </c>
      <c r="G490">
        <v>240</v>
      </c>
      <c r="H490">
        <v>0.12</v>
      </c>
      <c r="I490">
        <v>28.8</v>
      </c>
      <c r="J490" t="s">
        <v>37</v>
      </c>
    </row>
    <row r="491" spans="1:10" x14ac:dyDescent="0.3">
      <c r="A491" t="s">
        <v>521</v>
      </c>
      <c r="B491" s="1">
        <v>43296</v>
      </c>
      <c r="C491" t="s">
        <v>30</v>
      </c>
      <c r="D491" t="s">
        <v>24</v>
      </c>
      <c r="E491">
        <v>9</v>
      </c>
      <c r="F491">
        <v>16</v>
      </c>
      <c r="G491">
        <v>144</v>
      </c>
      <c r="H491">
        <v>0.05</v>
      </c>
      <c r="I491">
        <v>7.2</v>
      </c>
      <c r="J491" t="s">
        <v>39</v>
      </c>
    </row>
    <row r="492" spans="1:10" x14ac:dyDescent="0.3">
      <c r="A492" t="s">
        <v>522</v>
      </c>
      <c r="B492" s="1">
        <v>43296</v>
      </c>
      <c r="C492" t="s">
        <v>15</v>
      </c>
      <c r="D492" t="s">
        <v>31</v>
      </c>
      <c r="E492">
        <v>7</v>
      </c>
      <c r="F492">
        <v>40</v>
      </c>
      <c r="G492">
        <v>280</v>
      </c>
      <c r="H492">
        <v>0.05</v>
      </c>
      <c r="I492">
        <v>14</v>
      </c>
      <c r="J492" t="s">
        <v>13</v>
      </c>
    </row>
    <row r="493" spans="1:10" x14ac:dyDescent="0.3">
      <c r="A493" t="s">
        <v>523</v>
      </c>
      <c r="B493" s="1">
        <v>43296</v>
      </c>
      <c r="C493" t="s">
        <v>34</v>
      </c>
      <c r="D493" t="s">
        <v>31</v>
      </c>
      <c r="E493">
        <v>4</v>
      </c>
      <c r="F493">
        <v>150</v>
      </c>
      <c r="G493">
        <v>600</v>
      </c>
      <c r="H493">
        <v>0.05</v>
      </c>
      <c r="I493">
        <v>30</v>
      </c>
      <c r="J493" t="s">
        <v>17</v>
      </c>
    </row>
    <row r="494" spans="1:10" x14ac:dyDescent="0.3">
      <c r="A494" t="s">
        <v>524</v>
      </c>
      <c r="B494" s="1">
        <v>43296</v>
      </c>
      <c r="C494" t="s">
        <v>19</v>
      </c>
      <c r="D494" t="s">
        <v>12</v>
      </c>
      <c r="E494">
        <v>15</v>
      </c>
      <c r="F494">
        <v>230</v>
      </c>
      <c r="G494">
        <v>3450</v>
      </c>
      <c r="H494">
        <v>0.05</v>
      </c>
      <c r="I494">
        <v>172.5</v>
      </c>
      <c r="J494" t="s">
        <v>20</v>
      </c>
    </row>
    <row r="495" spans="1:10" x14ac:dyDescent="0.3">
      <c r="A495" t="s">
        <v>525</v>
      </c>
      <c r="B495" s="1">
        <v>43297</v>
      </c>
      <c r="C495" t="s">
        <v>15</v>
      </c>
      <c r="D495" t="s">
        <v>16</v>
      </c>
      <c r="E495">
        <v>12</v>
      </c>
      <c r="F495">
        <v>40</v>
      </c>
      <c r="G495">
        <v>480</v>
      </c>
      <c r="H495">
        <v>0.1</v>
      </c>
      <c r="I495">
        <v>48</v>
      </c>
      <c r="J495" t="s">
        <v>22</v>
      </c>
    </row>
    <row r="496" spans="1:10" x14ac:dyDescent="0.3">
      <c r="A496" t="s">
        <v>526</v>
      </c>
      <c r="B496" s="1">
        <v>43297</v>
      </c>
      <c r="C496" t="s">
        <v>19</v>
      </c>
      <c r="D496" t="s">
        <v>27</v>
      </c>
      <c r="E496">
        <v>23</v>
      </c>
      <c r="F496">
        <v>230</v>
      </c>
      <c r="G496">
        <v>5290</v>
      </c>
      <c r="H496">
        <v>0.06</v>
      </c>
      <c r="I496">
        <v>317.39999999999998</v>
      </c>
      <c r="J496" t="s">
        <v>25</v>
      </c>
    </row>
    <row r="497" spans="1:10" x14ac:dyDescent="0.3">
      <c r="A497" t="s">
        <v>527</v>
      </c>
      <c r="B497" s="1">
        <v>43297</v>
      </c>
      <c r="C497" t="s">
        <v>30</v>
      </c>
      <c r="D497" t="s">
        <v>12</v>
      </c>
      <c r="E497">
        <v>11</v>
      </c>
      <c r="F497">
        <v>16</v>
      </c>
      <c r="G497">
        <v>176</v>
      </c>
      <c r="H497">
        <v>0.09</v>
      </c>
      <c r="I497">
        <v>15.84</v>
      </c>
      <c r="J497" t="s">
        <v>28</v>
      </c>
    </row>
    <row r="498" spans="1:10" x14ac:dyDescent="0.3">
      <c r="A498" t="s">
        <v>528</v>
      </c>
      <c r="B498" s="1">
        <v>43297</v>
      </c>
      <c r="C498" t="s">
        <v>34</v>
      </c>
      <c r="D498" t="s">
        <v>12</v>
      </c>
      <c r="E498">
        <v>9</v>
      </c>
      <c r="F498">
        <v>150</v>
      </c>
      <c r="G498">
        <v>1350</v>
      </c>
      <c r="H498">
        <v>0.1</v>
      </c>
      <c r="I498">
        <v>135</v>
      </c>
      <c r="J498" t="s">
        <v>32</v>
      </c>
    </row>
    <row r="499" spans="1:10" x14ac:dyDescent="0.3">
      <c r="A499" t="s">
        <v>529</v>
      </c>
      <c r="B499" s="1">
        <v>43297</v>
      </c>
      <c r="C499" t="s">
        <v>11</v>
      </c>
      <c r="D499" t="s">
        <v>12</v>
      </c>
      <c r="E499">
        <v>18</v>
      </c>
      <c r="F499">
        <v>80</v>
      </c>
      <c r="G499">
        <v>1440</v>
      </c>
      <c r="H499">
        <v>0.02</v>
      </c>
      <c r="I499">
        <v>28.8</v>
      </c>
      <c r="J499" t="s">
        <v>35</v>
      </c>
    </row>
    <row r="500" spans="1:10" x14ac:dyDescent="0.3">
      <c r="A500" t="s">
        <v>530</v>
      </c>
      <c r="B500" s="1">
        <v>43297</v>
      </c>
      <c r="C500" t="s">
        <v>15</v>
      </c>
      <c r="D500" t="s">
        <v>31</v>
      </c>
      <c r="E500">
        <v>23</v>
      </c>
      <c r="F500">
        <v>40</v>
      </c>
      <c r="G500">
        <v>920</v>
      </c>
      <c r="H500">
        <v>0.04</v>
      </c>
      <c r="I500">
        <v>36.799999999999997</v>
      </c>
      <c r="J500" t="s">
        <v>37</v>
      </c>
    </row>
    <row r="501" spans="1:10" x14ac:dyDescent="0.3">
      <c r="A501" t="s">
        <v>531</v>
      </c>
      <c r="B501" s="1">
        <v>43297</v>
      </c>
      <c r="C501" t="s">
        <v>30</v>
      </c>
      <c r="D501" t="s">
        <v>31</v>
      </c>
      <c r="E501">
        <v>17</v>
      </c>
      <c r="F501">
        <v>16</v>
      </c>
      <c r="G501">
        <v>272</v>
      </c>
      <c r="H501">
        <v>0.1</v>
      </c>
      <c r="I501">
        <v>27.2</v>
      </c>
      <c r="J501" t="s">
        <v>39</v>
      </c>
    </row>
    <row r="502" spans="1:10" x14ac:dyDescent="0.3">
      <c r="A502" t="s">
        <v>532</v>
      </c>
      <c r="B502" s="1">
        <v>43297</v>
      </c>
      <c r="C502" t="s">
        <v>34</v>
      </c>
      <c r="D502" t="s">
        <v>31</v>
      </c>
      <c r="E502">
        <v>17</v>
      </c>
      <c r="F502">
        <v>150</v>
      </c>
      <c r="G502">
        <v>2550</v>
      </c>
      <c r="H502">
        <v>0.02</v>
      </c>
      <c r="I502">
        <v>51</v>
      </c>
      <c r="J502" t="s">
        <v>41</v>
      </c>
    </row>
    <row r="503" spans="1:10" x14ac:dyDescent="0.3">
      <c r="A503" t="s">
        <v>533</v>
      </c>
      <c r="B503" s="1">
        <v>43297</v>
      </c>
      <c r="C503" t="s">
        <v>11</v>
      </c>
      <c r="D503" t="s">
        <v>27</v>
      </c>
      <c r="E503">
        <v>21</v>
      </c>
      <c r="F503">
        <v>80</v>
      </c>
      <c r="G503">
        <v>1680</v>
      </c>
      <c r="H503">
        <v>0.02</v>
      </c>
      <c r="I503">
        <v>33.6</v>
      </c>
      <c r="J503" t="s">
        <v>43</v>
      </c>
    </row>
    <row r="504" spans="1:10" x14ac:dyDescent="0.3">
      <c r="A504" t="s">
        <v>534</v>
      </c>
      <c r="B504" s="1">
        <v>43297</v>
      </c>
      <c r="C504" t="s">
        <v>15</v>
      </c>
      <c r="D504" t="s">
        <v>27</v>
      </c>
      <c r="E504">
        <v>11</v>
      </c>
      <c r="F504">
        <v>40</v>
      </c>
      <c r="G504">
        <v>440</v>
      </c>
      <c r="H504">
        <v>0.06</v>
      </c>
      <c r="I504">
        <v>26.4</v>
      </c>
      <c r="J504" t="s">
        <v>13</v>
      </c>
    </row>
    <row r="505" spans="1:10" x14ac:dyDescent="0.3">
      <c r="A505" t="s">
        <v>535</v>
      </c>
      <c r="B505" s="1">
        <v>43297</v>
      </c>
      <c r="C505" t="s">
        <v>15</v>
      </c>
      <c r="D505" t="s">
        <v>12</v>
      </c>
      <c r="E505">
        <v>19</v>
      </c>
      <c r="F505">
        <v>40</v>
      </c>
      <c r="G505">
        <v>760</v>
      </c>
      <c r="H505">
        <v>0.04</v>
      </c>
      <c r="I505">
        <v>30.4</v>
      </c>
      <c r="J505" t="s">
        <v>17</v>
      </c>
    </row>
    <row r="506" spans="1:10" x14ac:dyDescent="0.3">
      <c r="A506" t="s">
        <v>536</v>
      </c>
      <c r="B506" s="1">
        <v>43297</v>
      </c>
      <c r="C506" t="s">
        <v>15</v>
      </c>
      <c r="D506" t="s">
        <v>12</v>
      </c>
      <c r="E506">
        <v>23</v>
      </c>
      <c r="F506">
        <v>40</v>
      </c>
      <c r="G506">
        <v>920</v>
      </c>
      <c r="H506">
        <v>0.03</v>
      </c>
      <c r="I506">
        <v>27.6</v>
      </c>
      <c r="J506" t="s">
        <v>20</v>
      </c>
    </row>
    <row r="507" spans="1:10" x14ac:dyDescent="0.3">
      <c r="A507" t="s">
        <v>537</v>
      </c>
      <c r="B507" s="1">
        <v>43297</v>
      </c>
      <c r="C507" t="s">
        <v>19</v>
      </c>
      <c r="D507" t="s">
        <v>16</v>
      </c>
      <c r="E507">
        <v>14</v>
      </c>
      <c r="F507">
        <v>230</v>
      </c>
      <c r="G507">
        <v>3220</v>
      </c>
      <c r="H507">
        <v>0.05</v>
      </c>
      <c r="I507">
        <v>161</v>
      </c>
      <c r="J507" t="s">
        <v>22</v>
      </c>
    </row>
    <row r="508" spans="1:10" x14ac:dyDescent="0.3">
      <c r="A508" t="s">
        <v>538</v>
      </c>
      <c r="B508" s="1">
        <v>43297</v>
      </c>
      <c r="C508" t="s">
        <v>15</v>
      </c>
      <c r="D508" t="s">
        <v>24</v>
      </c>
      <c r="E508">
        <v>18</v>
      </c>
      <c r="F508">
        <v>40</v>
      </c>
      <c r="G508">
        <v>720</v>
      </c>
      <c r="H508">
        <v>0.03</v>
      </c>
      <c r="I508">
        <v>21.6</v>
      </c>
      <c r="J508" t="s">
        <v>25</v>
      </c>
    </row>
    <row r="509" spans="1:10" x14ac:dyDescent="0.3">
      <c r="A509" t="s">
        <v>539</v>
      </c>
      <c r="B509" s="1">
        <v>43297</v>
      </c>
      <c r="C509" t="s">
        <v>34</v>
      </c>
      <c r="D509" t="s">
        <v>16</v>
      </c>
      <c r="E509">
        <v>2</v>
      </c>
      <c r="F509">
        <v>150</v>
      </c>
      <c r="G509">
        <v>300</v>
      </c>
      <c r="H509">
        <v>0.09</v>
      </c>
      <c r="I509">
        <v>27</v>
      </c>
      <c r="J509" t="s">
        <v>28</v>
      </c>
    </row>
    <row r="510" spans="1:10" x14ac:dyDescent="0.3">
      <c r="A510" t="s">
        <v>540</v>
      </c>
      <c r="B510" s="1">
        <v>43297</v>
      </c>
      <c r="C510" t="s">
        <v>19</v>
      </c>
      <c r="D510" t="s">
        <v>16</v>
      </c>
      <c r="E510">
        <v>7</v>
      </c>
      <c r="F510">
        <v>230</v>
      </c>
      <c r="G510">
        <v>1610</v>
      </c>
      <c r="H510">
        <v>0.05</v>
      </c>
      <c r="I510">
        <v>80.5</v>
      </c>
      <c r="J510" t="s">
        <v>32</v>
      </c>
    </row>
    <row r="511" spans="1:10" x14ac:dyDescent="0.3">
      <c r="A511" t="s">
        <v>541</v>
      </c>
      <c r="B511" s="1">
        <v>43298</v>
      </c>
      <c r="C511" t="s">
        <v>34</v>
      </c>
      <c r="D511" t="s">
        <v>24</v>
      </c>
      <c r="E511">
        <v>9</v>
      </c>
      <c r="F511">
        <v>150</v>
      </c>
      <c r="G511">
        <v>1350</v>
      </c>
      <c r="H511">
        <v>0.02</v>
      </c>
      <c r="I511">
        <v>27</v>
      </c>
      <c r="J511" t="s">
        <v>35</v>
      </c>
    </row>
    <row r="512" spans="1:10" x14ac:dyDescent="0.3">
      <c r="A512" t="s">
        <v>542</v>
      </c>
      <c r="B512" s="1">
        <v>43298</v>
      </c>
      <c r="C512" t="s">
        <v>15</v>
      </c>
      <c r="D512" t="s">
        <v>31</v>
      </c>
      <c r="E512">
        <v>3</v>
      </c>
      <c r="F512">
        <v>40</v>
      </c>
      <c r="G512">
        <v>120</v>
      </c>
      <c r="H512">
        <v>0.03</v>
      </c>
      <c r="I512">
        <v>3.6</v>
      </c>
      <c r="J512" t="s">
        <v>37</v>
      </c>
    </row>
    <row r="513" spans="1:10" x14ac:dyDescent="0.3">
      <c r="A513" t="s">
        <v>543</v>
      </c>
      <c r="B513" s="1">
        <v>43298</v>
      </c>
      <c r="C513" t="s">
        <v>11</v>
      </c>
      <c r="D513" t="s">
        <v>27</v>
      </c>
      <c r="E513">
        <v>2</v>
      </c>
      <c r="F513">
        <v>80</v>
      </c>
      <c r="G513">
        <v>160</v>
      </c>
      <c r="H513">
        <v>0.08</v>
      </c>
      <c r="I513">
        <v>12.8</v>
      </c>
      <c r="J513" t="s">
        <v>39</v>
      </c>
    </row>
    <row r="514" spans="1:10" x14ac:dyDescent="0.3">
      <c r="A514" t="s">
        <v>544</v>
      </c>
      <c r="B514" s="1">
        <v>43298</v>
      </c>
      <c r="C514" t="s">
        <v>30</v>
      </c>
      <c r="D514" t="s">
        <v>31</v>
      </c>
      <c r="E514">
        <v>19</v>
      </c>
      <c r="F514">
        <v>16</v>
      </c>
      <c r="G514">
        <v>304</v>
      </c>
      <c r="H514">
        <v>0.02</v>
      </c>
      <c r="I514">
        <v>6.08</v>
      </c>
      <c r="J514" t="s">
        <v>41</v>
      </c>
    </row>
    <row r="515" spans="1:10" x14ac:dyDescent="0.3">
      <c r="A515" t="s">
        <v>545</v>
      </c>
      <c r="B515" s="1">
        <v>43298</v>
      </c>
      <c r="C515" t="s">
        <v>30</v>
      </c>
      <c r="D515" t="s">
        <v>16</v>
      </c>
      <c r="E515">
        <v>21</v>
      </c>
      <c r="F515">
        <v>16</v>
      </c>
      <c r="G515">
        <v>336</v>
      </c>
      <c r="H515">
        <v>0.02</v>
      </c>
      <c r="I515">
        <v>6.72</v>
      </c>
      <c r="J515" t="s">
        <v>43</v>
      </c>
    </row>
    <row r="516" spans="1:10" x14ac:dyDescent="0.3">
      <c r="A516" t="s">
        <v>546</v>
      </c>
      <c r="B516" s="1">
        <v>43298</v>
      </c>
      <c r="C516" t="s">
        <v>11</v>
      </c>
      <c r="D516" t="s">
        <v>27</v>
      </c>
      <c r="E516">
        <v>21</v>
      </c>
      <c r="F516">
        <v>80</v>
      </c>
      <c r="G516">
        <v>1680</v>
      </c>
      <c r="H516">
        <v>0.05</v>
      </c>
      <c r="I516">
        <v>84</v>
      </c>
      <c r="J516" t="s">
        <v>13</v>
      </c>
    </row>
    <row r="517" spans="1:10" x14ac:dyDescent="0.3">
      <c r="A517" t="s">
        <v>547</v>
      </c>
      <c r="B517" s="1">
        <v>43298</v>
      </c>
      <c r="C517" t="s">
        <v>19</v>
      </c>
      <c r="D517" t="s">
        <v>31</v>
      </c>
      <c r="E517">
        <v>3</v>
      </c>
      <c r="F517">
        <v>230</v>
      </c>
      <c r="G517">
        <v>690</v>
      </c>
      <c r="H517">
        <v>0.1</v>
      </c>
      <c r="I517">
        <v>69</v>
      </c>
      <c r="J517" t="s">
        <v>17</v>
      </c>
    </row>
    <row r="518" spans="1:10" x14ac:dyDescent="0.3">
      <c r="A518" t="s">
        <v>548</v>
      </c>
      <c r="B518" s="1">
        <v>43298</v>
      </c>
      <c r="C518" t="s">
        <v>15</v>
      </c>
      <c r="D518" t="s">
        <v>24</v>
      </c>
      <c r="E518">
        <v>4</v>
      </c>
      <c r="F518">
        <v>40</v>
      </c>
      <c r="G518">
        <v>160</v>
      </c>
      <c r="H518">
        <v>0.11</v>
      </c>
      <c r="I518">
        <v>17.600000000000001</v>
      </c>
      <c r="J518" t="s">
        <v>20</v>
      </c>
    </row>
    <row r="519" spans="1:10" x14ac:dyDescent="0.3">
      <c r="A519" t="s">
        <v>549</v>
      </c>
      <c r="B519" s="1">
        <v>43298</v>
      </c>
      <c r="C519" t="s">
        <v>34</v>
      </c>
      <c r="D519" t="s">
        <v>31</v>
      </c>
      <c r="E519">
        <v>7</v>
      </c>
      <c r="F519">
        <v>150</v>
      </c>
      <c r="G519">
        <v>1050</v>
      </c>
      <c r="H519">
        <v>0.03</v>
      </c>
      <c r="I519">
        <v>31.5</v>
      </c>
      <c r="J519" t="s">
        <v>22</v>
      </c>
    </row>
    <row r="520" spans="1:10" x14ac:dyDescent="0.3">
      <c r="A520" t="s">
        <v>550</v>
      </c>
      <c r="B520" s="1">
        <v>43298</v>
      </c>
      <c r="C520" t="s">
        <v>30</v>
      </c>
      <c r="D520" t="s">
        <v>24</v>
      </c>
      <c r="E520">
        <v>11</v>
      </c>
      <c r="F520">
        <v>16</v>
      </c>
      <c r="G520">
        <v>176</v>
      </c>
      <c r="H520">
        <v>0.12</v>
      </c>
      <c r="I520">
        <v>21.12</v>
      </c>
      <c r="J520" t="s">
        <v>25</v>
      </c>
    </row>
    <row r="521" spans="1:10" x14ac:dyDescent="0.3">
      <c r="A521" t="s">
        <v>551</v>
      </c>
      <c r="B521" s="1">
        <v>43298</v>
      </c>
      <c r="C521" t="s">
        <v>11</v>
      </c>
      <c r="D521" t="s">
        <v>12</v>
      </c>
      <c r="E521">
        <v>17</v>
      </c>
      <c r="F521">
        <v>80</v>
      </c>
      <c r="G521">
        <v>1360</v>
      </c>
      <c r="H521">
        <v>7.0000000000000007E-2</v>
      </c>
      <c r="I521">
        <v>95.2</v>
      </c>
      <c r="J521" t="s">
        <v>28</v>
      </c>
    </row>
    <row r="522" spans="1:10" x14ac:dyDescent="0.3">
      <c r="A522" t="s">
        <v>552</v>
      </c>
      <c r="B522" s="1">
        <v>43298</v>
      </c>
      <c r="C522" t="s">
        <v>30</v>
      </c>
      <c r="D522" t="s">
        <v>27</v>
      </c>
      <c r="E522">
        <v>5</v>
      </c>
      <c r="F522">
        <v>16</v>
      </c>
      <c r="G522">
        <v>80</v>
      </c>
      <c r="H522">
        <v>0.09</v>
      </c>
      <c r="I522">
        <v>7.2</v>
      </c>
      <c r="J522" t="s">
        <v>32</v>
      </c>
    </row>
    <row r="523" spans="1:10" x14ac:dyDescent="0.3">
      <c r="A523" t="s">
        <v>553</v>
      </c>
      <c r="B523" s="1">
        <v>43298</v>
      </c>
      <c r="C523" t="s">
        <v>30</v>
      </c>
      <c r="D523" t="s">
        <v>31</v>
      </c>
      <c r="E523">
        <v>13</v>
      </c>
      <c r="F523">
        <v>16</v>
      </c>
      <c r="G523">
        <v>208</v>
      </c>
      <c r="H523">
        <v>7.0000000000000007E-2</v>
      </c>
      <c r="I523">
        <v>14.56</v>
      </c>
      <c r="J523" t="s">
        <v>35</v>
      </c>
    </row>
    <row r="524" spans="1:10" x14ac:dyDescent="0.3">
      <c r="A524" t="s">
        <v>554</v>
      </c>
      <c r="B524" s="1">
        <v>43298</v>
      </c>
      <c r="C524" t="s">
        <v>11</v>
      </c>
      <c r="D524" t="s">
        <v>31</v>
      </c>
      <c r="E524">
        <v>9</v>
      </c>
      <c r="F524">
        <v>80</v>
      </c>
      <c r="G524">
        <v>720</v>
      </c>
      <c r="H524">
        <v>0.02</v>
      </c>
      <c r="I524">
        <v>14.4</v>
      </c>
      <c r="J524" t="s">
        <v>37</v>
      </c>
    </row>
    <row r="525" spans="1:10" x14ac:dyDescent="0.3">
      <c r="A525" t="s">
        <v>555</v>
      </c>
      <c r="B525" s="1">
        <v>43299</v>
      </c>
      <c r="C525" t="s">
        <v>11</v>
      </c>
      <c r="D525" t="s">
        <v>31</v>
      </c>
      <c r="E525">
        <v>9</v>
      </c>
      <c r="F525">
        <v>80</v>
      </c>
      <c r="G525">
        <v>720</v>
      </c>
      <c r="H525">
        <v>0.02</v>
      </c>
      <c r="I525">
        <v>14.4</v>
      </c>
      <c r="J525" t="s">
        <v>39</v>
      </c>
    </row>
    <row r="526" spans="1:10" x14ac:dyDescent="0.3">
      <c r="A526" t="s">
        <v>556</v>
      </c>
      <c r="B526" s="1">
        <v>43299</v>
      </c>
      <c r="C526" t="s">
        <v>11</v>
      </c>
      <c r="D526" t="s">
        <v>27</v>
      </c>
      <c r="E526">
        <v>22</v>
      </c>
      <c r="F526">
        <v>80</v>
      </c>
      <c r="G526">
        <v>1760</v>
      </c>
      <c r="H526">
        <v>0.03</v>
      </c>
      <c r="I526">
        <v>52.8</v>
      </c>
      <c r="J526" t="s">
        <v>41</v>
      </c>
    </row>
    <row r="527" spans="1:10" x14ac:dyDescent="0.3">
      <c r="A527" t="s">
        <v>557</v>
      </c>
      <c r="B527" s="1">
        <v>43299</v>
      </c>
      <c r="C527" t="s">
        <v>34</v>
      </c>
      <c r="D527" t="s">
        <v>12</v>
      </c>
      <c r="E527">
        <v>13</v>
      </c>
      <c r="F527">
        <v>150</v>
      </c>
      <c r="G527">
        <v>1950</v>
      </c>
      <c r="H527">
        <v>0.05</v>
      </c>
      <c r="I527">
        <v>97.5</v>
      </c>
      <c r="J527" t="s">
        <v>43</v>
      </c>
    </row>
    <row r="528" spans="1:10" x14ac:dyDescent="0.3">
      <c r="A528" t="s">
        <v>558</v>
      </c>
      <c r="B528" s="1">
        <v>43299</v>
      </c>
      <c r="C528" t="s">
        <v>11</v>
      </c>
      <c r="D528" t="s">
        <v>12</v>
      </c>
      <c r="E528">
        <v>14</v>
      </c>
      <c r="F528">
        <v>80</v>
      </c>
      <c r="G528">
        <v>1120</v>
      </c>
      <c r="H528">
        <v>0.08</v>
      </c>
      <c r="I528">
        <v>89.6</v>
      </c>
      <c r="J528" t="s">
        <v>13</v>
      </c>
    </row>
    <row r="529" spans="1:10" x14ac:dyDescent="0.3">
      <c r="A529" t="s">
        <v>559</v>
      </c>
      <c r="B529" s="1">
        <v>43299</v>
      </c>
      <c r="C529" t="s">
        <v>11</v>
      </c>
      <c r="D529" t="s">
        <v>12</v>
      </c>
      <c r="E529">
        <v>6</v>
      </c>
      <c r="F529">
        <v>80</v>
      </c>
      <c r="G529">
        <v>480</v>
      </c>
      <c r="H529">
        <v>7.0000000000000007E-2</v>
      </c>
      <c r="I529">
        <v>33.6</v>
      </c>
      <c r="J529" t="s">
        <v>17</v>
      </c>
    </row>
    <row r="530" spans="1:10" x14ac:dyDescent="0.3">
      <c r="A530" t="s">
        <v>560</v>
      </c>
      <c r="B530" s="1">
        <v>43299</v>
      </c>
      <c r="C530" t="s">
        <v>11</v>
      </c>
      <c r="D530" t="s">
        <v>12</v>
      </c>
      <c r="E530">
        <v>16</v>
      </c>
      <c r="F530">
        <v>80</v>
      </c>
      <c r="G530">
        <v>1280</v>
      </c>
      <c r="H530">
        <v>0.03</v>
      </c>
      <c r="I530">
        <v>38.4</v>
      </c>
      <c r="J530" t="s">
        <v>20</v>
      </c>
    </row>
    <row r="531" spans="1:10" x14ac:dyDescent="0.3">
      <c r="A531" t="s">
        <v>561</v>
      </c>
      <c r="B531" s="1">
        <v>43299</v>
      </c>
      <c r="C531" t="s">
        <v>34</v>
      </c>
      <c r="D531" t="s">
        <v>24</v>
      </c>
      <c r="E531">
        <v>22</v>
      </c>
      <c r="F531">
        <v>150</v>
      </c>
      <c r="G531">
        <v>3300</v>
      </c>
      <c r="H531">
        <v>0.09</v>
      </c>
      <c r="I531">
        <v>297</v>
      </c>
      <c r="J531" t="s">
        <v>22</v>
      </c>
    </row>
    <row r="532" spans="1:10" x14ac:dyDescent="0.3">
      <c r="A532" t="s">
        <v>562</v>
      </c>
      <c r="B532" s="1">
        <v>43299</v>
      </c>
      <c r="C532" t="s">
        <v>34</v>
      </c>
      <c r="D532" t="s">
        <v>27</v>
      </c>
      <c r="E532">
        <v>4</v>
      </c>
      <c r="F532">
        <v>150</v>
      </c>
      <c r="G532">
        <v>600</v>
      </c>
      <c r="H532">
        <v>0.12</v>
      </c>
      <c r="I532">
        <v>72</v>
      </c>
      <c r="J532" t="s">
        <v>25</v>
      </c>
    </row>
    <row r="533" spans="1:10" x14ac:dyDescent="0.3">
      <c r="A533" t="s">
        <v>563</v>
      </c>
      <c r="B533" s="1">
        <v>43299</v>
      </c>
      <c r="C533" t="s">
        <v>19</v>
      </c>
      <c r="D533" t="s">
        <v>31</v>
      </c>
      <c r="E533">
        <v>7</v>
      </c>
      <c r="F533">
        <v>230</v>
      </c>
      <c r="G533">
        <v>1610</v>
      </c>
      <c r="H533">
        <v>0.05</v>
      </c>
      <c r="I533">
        <v>80.5</v>
      </c>
      <c r="J533" t="s">
        <v>28</v>
      </c>
    </row>
    <row r="534" spans="1:10" x14ac:dyDescent="0.3">
      <c r="A534" t="s">
        <v>564</v>
      </c>
      <c r="B534" s="1">
        <v>43299</v>
      </c>
      <c r="C534" t="s">
        <v>34</v>
      </c>
      <c r="D534" t="s">
        <v>27</v>
      </c>
      <c r="E534">
        <v>20</v>
      </c>
      <c r="F534">
        <v>150</v>
      </c>
      <c r="G534">
        <v>3000</v>
      </c>
      <c r="H534">
        <v>0.1</v>
      </c>
      <c r="I534">
        <v>300</v>
      </c>
      <c r="J534" t="s">
        <v>32</v>
      </c>
    </row>
    <row r="535" spans="1:10" x14ac:dyDescent="0.3">
      <c r="A535" t="s">
        <v>565</v>
      </c>
      <c r="B535" s="1">
        <v>43299</v>
      </c>
      <c r="C535" t="s">
        <v>19</v>
      </c>
      <c r="D535" t="s">
        <v>27</v>
      </c>
      <c r="E535">
        <v>8</v>
      </c>
      <c r="F535">
        <v>230</v>
      </c>
      <c r="G535">
        <v>1840</v>
      </c>
      <c r="H535">
        <v>0.05</v>
      </c>
      <c r="I535">
        <v>92</v>
      </c>
      <c r="J535" t="s">
        <v>35</v>
      </c>
    </row>
    <row r="536" spans="1:10" x14ac:dyDescent="0.3">
      <c r="A536" t="s">
        <v>566</v>
      </c>
      <c r="B536" s="1">
        <v>43300</v>
      </c>
      <c r="C536" t="s">
        <v>15</v>
      </c>
      <c r="D536" t="s">
        <v>27</v>
      </c>
      <c r="E536">
        <v>9</v>
      </c>
      <c r="F536">
        <v>40</v>
      </c>
      <c r="G536">
        <v>360</v>
      </c>
      <c r="H536">
        <v>0.06</v>
      </c>
      <c r="I536">
        <v>21.6</v>
      </c>
      <c r="J536" t="s">
        <v>37</v>
      </c>
    </row>
    <row r="537" spans="1:10" x14ac:dyDescent="0.3">
      <c r="A537" t="s">
        <v>567</v>
      </c>
      <c r="B537" s="1">
        <v>43300</v>
      </c>
      <c r="C537" t="s">
        <v>19</v>
      </c>
      <c r="D537" t="s">
        <v>27</v>
      </c>
      <c r="E537">
        <v>19</v>
      </c>
      <c r="F537">
        <v>230</v>
      </c>
      <c r="G537">
        <v>4370</v>
      </c>
      <c r="H537">
        <v>0.06</v>
      </c>
      <c r="I537">
        <v>262.2</v>
      </c>
      <c r="J537" t="s">
        <v>39</v>
      </c>
    </row>
    <row r="538" spans="1:10" x14ac:dyDescent="0.3">
      <c r="A538" t="s">
        <v>568</v>
      </c>
      <c r="B538" s="1">
        <v>43300</v>
      </c>
      <c r="C538" t="s">
        <v>15</v>
      </c>
      <c r="D538" t="s">
        <v>27</v>
      </c>
      <c r="E538">
        <v>22</v>
      </c>
      <c r="F538">
        <v>40</v>
      </c>
      <c r="G538">
        <v>880</v>
      </c>
      <c r="H538">
        <v>0.01</v>
      </c>
      <c r="I538">
        <v>8.8000000000000007</v>
      </c>
      <c r="J538" t="s">
        <v>41</v>
      </c>
    </row>
    <row r="539" spans="1:10" x14ac:dyDescent="0.3">
      <c r="A539" t="s">
        <v>569</v>
      </c>
      <c r="B539" s="1">
        <v>43300</v>
      </c>
      <c r="C539" t="s">
        <v>15</v>
      </c>
      <c r="D539" t="s">
        <v>12</v>
      </c>
      <c r="E539">
        <v>22</v>
      </c>
      <c r="F539">
        <v>40</v>
      </c>
      <c r="G539">
        <v>880</v>
      </c>
      <c r="H539">
        <v>0.02</v>
      </c>
      <c r="I539">
        <v>17.600000000000001</v>
      </c>
      <c r="J539" t="s">
        <v>43</v>
      </c>
    </row>
    <row r="540" spans="1:10" x14ac:dyDescent="0.3">
      <c r="A540" t="s">
        <v>570</v>
      </c>
      <c r="B540" s="1">
        <v>43300</v>
      </c>
      <c r="C540" t="s">
        <v>11</v>
      </c>
      <c r="D540" t="s">
        <v>31</v>
      </c>
      <c r="E540">
        <v>10</v>
      </c>
      <c r="F540">
        <v>80</v>
      </c>
      <c r="G540">
        <v>800</v>
      </c>
      <c r="H540">
        <v>0.06</v>
      </c>
      <c r="I540">
        <v>48</v>
      </c>
      <c r="J540" t="s">
        <v>13</v>
      </c>
    </row>
    <row r="541" spans="1:10" x14ac:dyDescent="0.3">
      <c r="A541" t="s">
        <v>571</v>
      </c>
      <c r="B541" s="1">
        <v>43300</v>
      </c>
      <c r="C541" t="s">
        <v>15</v>
      </c>
      <c r="D541" t="s">
        <v>27</v>
      </c>
      <c r="E541">
        <v>7</v>
      </c>
      <c r="F541">
        <v>40</v>
      </c>
      <c r="G541">
        <v>280</v>
      </c>
      <c r="H541">
        <v>0.11</v>
      </c>
      <c r="I541">
        <v>30.8</v>
      </c>
      <c r="J541" t="s">
        <v>17</v>
      </c>
    </row>
    <row r="542" spans="1:10" x14ac:dyDescent="0.3">
      <c r="A542" t="s">
        <v>572</v>
      </c>
      <c r="B542" s="1">
        <v>43300</v>
      </c>
      <c r="C542" t="s">
        <v>19</v>
      </c>
      <c r="D542" t="s">
        <v>12</v>
      </c>
      <c r="E542">
        <v>7</v>
      </c>
      <c r="F542">
        <v>230</v>
      </c>
      <c r="G542">
        <v>1610</v>
      </c>
      <c r="H542">
        <v>0.08</v>
      </c>
      <c r="I542">
        <v>128.80000000000001</v>
      </c>
      <c r="J542" t="s">
        <v>20</v>
      </c>
    </row>
    <row r="543" spans="1:10" x14ac:dyDescent="0.3">
      <c r="A543" t="s">
        <v>573</v>
      </c>
      <c r="B543" s="1">
        <v>43300</v>
      </c>
      <c r="C543" t="s">
        <v>30</v>
      </c>
      <c r="D543" t="s">
        <v>12</v>
      </c>
      <c r="E543">
        <v>18</v>
      </c>
      <c r="F543">
        <v>16</v>
      </c>
      <c r="G543">
        <v>288</v>
      </c>
      <c r="H543">
        <v>0.11</v>
      </c>
      <c r="I543">
        <v>31.68</v>
      </c>
      <c r="J543" t="s">
        <v>22</v>
      </c>
    </row>
    <row r="544" spans="1:10" x14ac:dyDescent="0.3">
      <c r="A544" t="s">
        <v>574</v>
      </c>
      <c r="B544" s="1">
        <v>43300</v>
      </c>
      <c r="C544" t="s">
        <v>19</v>
      </c>
      <c r="D544" t="s">
        <v>24</v>
      </c>
      <c r="E544">
        <v>14</v>
      </c>
      <c r="F544">
        <v>230</v>
      </c>
      <c r="G544">
        <v>3220</v>
      </c>
      <c r="H544">
        <v>0.12</v>
      </c>
      <c r="I544">
        <v>386.4</v>
      </c>
      <c r="J544" t="s">
        <v>25</v>
      </c>
    </row>
    <row r="545" spans="1:10" x14ac:dyDescent="0.3">
      <c r="A545" t="s">
        <v>575</v>
      </c>
      <c r="B545" s="1">
        <v>43300</v>
      </c>
      <c r="C545" t="s">
        <v>15</v>
      </c>
      <c r="D545" t="s">
        <v>16</v>
      </c>
      <c r="E545">
        <v>21</v>
      </c>
      <c r="F545">
        <v>40</v>
      </c>
      <c r="G545">
        <v>840</v>
      </c>
      <c r="H545">
        <v>0.03</v>
      </c>
      <c r="I545">
        <v>25.2</v>
      </c>
      <c r="J545" t="s">
        <v>28</v>
      </c>
    </row>
    <row r="546" spans="1:10" x14ac:dyDescent="0.3">
      <c r="A546" t="s">
        <v>576</v>
      </c>
      <c r="B546" s="1">
        <v>43300</v>
      </c>
      <c r="C546" t="s">
        <v>34</v>
      </c>
      <c r="D546" t="s">
        <v>12</v>
      </c>
      <c r="E546">
        <v>3</v>
      </c>
      <c r="F546">
        <v>150</v>
      </c>
      <c r="G546">
        <v>450</v>
      </c>
      <c r="H546">
        <v>0.03</v>
      </c>
      <c r="I546">
        <v>13.5</v>
      </c>
      <c r="J546" t="s">
        <v>32</v>
      </c>
    </row>
    <row r="547" spans="1:10" x14ac:dyDescent="0.3">
      <c r="A547" t="s">
        <v>577</v>
      </c>
      <c r="B547" s="1">
        <v>43300</v>
      </c>
      <c r="C547" t="s">
        <v>11</v>
      </c>
      <c r="D547" t="s">
        <v>12</v>
      </c>
      <c r="E547">
        <v>12</v>
      </c>
      <c r="F547">
        <v>80</v>
      </c>
      <c r="G547">
        <v>960</v>
      </c>
      <c r="H547">
        <v>0.04</v>
      </c>
      <c r="I547">
        <v>38.4</v>
      </c>
      <c r="J547" t="s">
        <v>35</v>
      </c>
    </row>
    <row r="548" spans="1:10" x14ac:dyDescent="0.3">
      <c r="A548" t="s">
        <v>578</v>
      </c>
      <c r="B548" s="1">
        <v>43301</v>
      </c>
      <c r="C548" t="s">
        <v>34</v>
      </c>
      <c r="D548" t="s">
        <v>27</v>
      </c>
      <c r="E548">
        <v>6</v>
      </c>
      <c r="F548">
        <v>150</v>
      </c>
      <c r="G548">
        <v>900</v>
      </c>
      <c r="H548">
        <v>0.03</v>
      </c>
      <c r="I548">
        <v>27</v>
      </c>
      <c r="J548" t="s">
        <v>37</v>
      </c>
    </row>
    <row r="549" spans="1:10" x14ac:dyDescent="0.3">
      <c r="A549" t="s">
        <v>579</v>
      </c>
      <c r="B549" s="1">
        <v>43301</v>
      </c>
      <c r="C549" t="s">
        <v>15</v>
      </c>
      <c r="D549" t="s">
        <v>24</v>
      </c>
      <c r="E549">
        <v>20</v>
      </c>
      <c r="F549">
        <v>40</v>
      </c>
      <c r="G549">
        <v>800</v>
      </c>
      <c r="H549">
        <v>0.01</v>
      </c>
      <c r="I549">
        <v>8</v>
      </c>
      <c r="J549" t="s">
        <v>39</v>
      </c>
    </row>
    <row r="550" spans="1:10" x14ac:dyDescent="0.3">
      <c r="A550" t="s">
        <v>580</v>
      </c>
      <c r="B550" s="1">
        <v>43301</v>
      </c>
      <c r="C550" t="s">
        <v>19</v>
      </c>
      <c r="D550" t="s">
        <v>12</v>
      </c>
      <c r="E550">
        <v>3</v>
      </c>
      <c r="F550">
        <v>230</v>
      </c>
      <c r="G550">
        <v>690</v>
      </c>
      <c r="H550">
        <v>0.06</v>
      </c>
      <c r="I550">
        <v>41.4</v>
      </c>
      <c r="J550" t="s">
        <v>32</v>
      </c>
    </row>
    <row r="551" spans="1:10" x14ac:dyDescent="0.3">
      <c r="A551" t="s">
        <v>581</v>
      </c>
      <c r="B551" s="1">
        <v>43301</v>
      </c>
      <c r="C551" t="s">
        <v>19</v>
      </c>
      <c r="D551" t="s">
        <v>27</v>
      </c>
      <c r="E551">
        <v>3</v>
      </c>
      <c r="F551">
        <v>230</v>
      </c>
      <c r="G551">
        <v>690</v>
      </c>
      <c r="H551">
        <v>0.01</v>
      </c>
      <c r="I551">
        <v>6.9</v>
      </c>
      <c r="J551" t="s">
        <v>35</v>
      </c>
    </row>
    <row r="552" spans="1:10" x14ac:dyDescent="0.3">
      <c r="A552" t="s">
        <v>582</v>
      </c>
      <c r="B552" s="1">
        <v>43301</v>
      </c>
      <c r="C552" t="s">
        <v>15</v>
      </c>
      <c r="D552" t="s">
        <v>12</v>
      </c>
      <c r="E552">
        <v>20</v>
      </c>
      <c r="F552">
        <v>40</v>
      </c>
      <c r="G552">
        <v>800</v>
      </c>
      <c r="H552">
        <v>0.04</v>
      </c>
      <c r="I552">
        <v>32</v>
      </c>
      <c r="J552" t="s">
        <v>37</v>
      </c>
    </row>
    <row r="553" spans="1:10" x14ac:dyDescent="0.3">
      <c r="A553" t="s">
        <v>583</v>
      </c>
      <c r="B553" s="1">
        <v>43301</v>
      </c>
      <c r="C553" t="s">
        <v>11</v>
      </c>
      <c r="D553" t="s">
        <v>24</v>
      </c>
      <c r="E553">
        <v>16</v>
      </c>
      <c r="F553">
        <v>80</v>
      </c>
      <c r="G553">
        <v>1280</v>
      </c>
      <c r="H553">
        <v>0.02</v>
      </c>
      <c r="I553">
        <v>25.6</v>
      </c>
      <c r="J553" t="s">
        <v>39</v>
      </c>
    </row>
    <row r="554" spans="1:10" x14ac:dyDescent="0.3">
      <c r="A554" t="s">
        <v>584</v>
      </c>
      <c r="B554" s="1">
        <v>43301</v>
      </c>
      <c r="C554" t="s">
        <v>34</v>
      </c>
      <c r="D554" t="s">
        <v>12</v>
      </c>
      <c r="E554">
        <v>8</v>
      </c>
      <c r="F554">
        <v>150</v>
      </c>
      <c r="G554">
        <v>1200</v>
      </c>
      <c r="H554">
        <v>0.09</v>
      </c>
      <c r="I554">
        <v>108</v>
      </c>
      <c r="J554" t="s">
        <v>32</v>
      </c>
    </row>
    <row r="555" spans="1:10" x14ac:dyDescent="0.3">
      <c r="A555" t="s">
        <v>585</v>
      </c>
      <c r="B555" s="1">
        <v>43302</v>
      </c>
      <c r="C555" t="s">
        <v>19</v>
      </c>
      <c r="D555" t="s">
        <v>16</v>
      </c>
      <c r="E555">
        <v>7</v>
      </c>
      <c r="F555">
        <v>230</v>
      </c>
      <c r="G555">
        <v>1610</v>
      </c>
      <c r="H555">
        <v>0.01</v>
      </c>
      <c r="I555">
        <v>16.100000000000001</v>
      </c>
      <c r="J555" t="s">
        <v>35</v>
      </c>
    </row>
    <row r="556" spans="1:10" x14ac:dyDescent="0.3">
      <c r="A556" t="s">
        <v>586</v>
      </c>
      <c r="B556" s="1">
        <v>43302</v>
      </c>
      <c r="C556" t="s">
        <v>34</v>
      </c>
      <c r="D556" t="s">
        <v>16</v>
      </c>
      <c r="E556">
        <v>23</v>
      </c>
      <c r="F556">
        <v>150</v>
      </c>
      <c r="G556">
        <v>3450</v>
      </c>
      <c r="H556">
        <v>0.11</v>
      </c>
      <c r="I556">
        <v>379.5</v>
      </c>
      <c r="J556" t="s">
        <v>37</v>
      </c>
    </row>
    <row r="557" spans="1:10" x14ac:dyDescent="0.3">
      <c r="A557" t="s">
        <v>587</v>
      </c>
      <c r="B557" s="1">
        <v>43302</v>
      </c>
      <c r="C557" t="s">
        <v>15</v>
      </c>
      <c r="D557" t="s">
        <v>31</v>
      </c>
      <c r="E557">
        <v>16</v>
      </c>
      <c r="F557">
        <v>40</v>
      </c>
      <c r="G557">
        <v>640</v>
      </c>
      <c r="H557">
        <v>0.09</v>
      </c>
      <c r="I557">
        <v>57.6</v>
      </c>
      <c r="J557" t="s">
        <v>39</v>
      </c>
    </row>
    <row r="558" spans="1:10" x14ac:dyDescent="0.3">
      <c r="A558" t="s">
        <v>588</v>
      </c>
      <c r="B558" s="1">
        <v>43302</v>
      </c>
      <c r="C558" t="s">
        <v>15</v>
      </c>
      <c r="D558" t="s">
        <v>31</v>
      </c>
      <c r="E558">
        <v>20</v>
      </c>
      <c r="F558">
        <v>40</v>
      </c>
      <c r="G558">
        <v>800</v>
      </c>
      <c r="H558">
        <v>0.1</v>
      </c>
      <c r="I558">
        <v>80</v>
      </c>
      <c r="J558" t="s">
        <v>32</v>
      </c>
    </row>
    <row r="559" spans="1:10" x14ac:dyDescent="0.3">
      <c r="A559" t="s">
        <v>589</v>
      </c>
      <c r="B559" s="1">
        <v>43302</v>
      </c>
      <c r="C559" t="s">
        <v>15</v>
      </c>
      <c r="D559" t="s">
        <v>16</v>
      </c>
      <c r="E559">
        <v>18</v>
      </c>
      <c r="F559">
        <v>40</v>
      </c>
      <c r="G559">
        <v>720</v>
      </c>
      <c r="H559">
        <v>0.08</v>
      </c>
      <c r="I559">
        <v>57.6</v>
      </c>
      <c r="J559" t="s">
        <v>35</v>
      </c>
    </row>
    <row r="560" spans="1:10" x14ac:dyDescent="0.3">
      <c r="A560" t="s">
        <v>590</v>
      </c>
      <c r="B560" s="1">
        <v>43302</v>
      </c>
      <c r="C560" t="s">
        <v>11</v>
      </c>
      <c r="D560" t="s">
        <v>31</v>
      </c>
      <c r="E560">
        <v>22</v>
      </c>
      <c r="F560">
        <v>80</v>
      </c>
      <c r="G560">
        <v>1760</v>
      </c>
      <c r="H560">
        <v>0.09</v>
      </c>
      <c r="I560">
        <v>158.4</v>
      </c>
      <c r="J560" t="s">
        <v>37</v>
      </c>
    </row>
    <row r="561" spans="1:10" x14ac:dyDescent="0.3">
      <c r="A561" t="s">
        <v>591</v>
      </c>
      <c r="B561" s="1">
        <v>43302</v>
      </c>
      <c r="C561" t="s">
        <v>34</v>
      </c>
      <c r="D561" t="s">
        <v>16</v>
      </c>
      <c r="E561">
        <v>22</v>
      </c>
      <c r="F561">
        <v>150</v>
      </c>
      <c r="G561">
        <v>3300</v>
      </c>
      <c r="H561">
        <v>0.02</v>
      </c>
      <c r="I561">
        <v>66</v>
      </c>
      <c r="J561" t="s">
        <v>39</v>
      </c>
    </row>
    <row r="562" spans="1:10" x14ac:dyDescent="0.3">
      <c r="A562" t="s">
        <v>592</v>
      </c>
      <c r="B562" s="1">
        <v>43302</v>
      </c>
      <c r="C562" t="s">
        <v>34</v>
      </c>
      <c r="D562" t="s">
        <v>16</v>
      </c>
      <c r="E562">
        <v>20</v>
      </c>
      <c r="F562">
        <v>150</v>
      </c>
      <c r="G562">
        <v>3000</v>
      </c>
      <c r="H562">
        <v>0.09</v>
      </c>
      <c r="I562">
        <v>270</v>
      </c>
      <c r="J562" t="s">
        <v>32</v>
      </c>
    </row>
    <row r="563" spans="1:10" x14ac:dyDescent="0.3">
      <c r="A563" t="s">
        <v>593</v>
      </c>
      <c r="B563" s="1">
        <v>43302</v>
      </c>
      <c r="C563" t="s">
        <v>30</v>
      </c>
      <c r="D563" t="s">
        <v>12</v>
      </c>
      <c r="E563">
        <v>10</v>
      </c>
      <c r="F563">
        <v>16</v>
      </c>
      <c r="G563">
        <v>160</v>
      </c>
      <c r="H563">
        <v>0.08</v>
      </c>
      <c r="I563">
        <v>12.8</v>
      </c>
      <c r="J563" t="s">
        <v>35</v>
      </c>
    </row>
    <row r="564" spans="1:10" x14ac:dyDescent="0.3">
      <c r="A564" t="s">
        <v>594</v>
      </c>
      <c r="B564" s="1">
        <v>43302</v>
      </c>
      <c r="C564" t="s">
        <v>15</v>
      </c>
      <c r="D564" t="s">
        <v>24</v>
      </c>
      <c r="E564">
        <v>12</v>
      </c>
      <c r="F564">
        <v>40</v>
      </c>
      <c r="G564">
        <v>480</v>
      </c>
      <c r="H564">
        <v>0.02</v>
      </c>
      <c r="I564">
        <v>9.6</v>
      </c>
      <c r="J564" t="s">
        <v>37</v>
      </c>
    </row>
    <row r="565" spans="1:10" x14ac:dyDescent="0.3">
      <c r="A565" t="s">
        <v>595</v>
      </c>
      <c r="B565" s="1">
        <v>43302</v>
      </c>
      <c r="C565" t="s">
        <v>34</v>
      </c>
      <c r="D565" t="s">
        <v>12</v>
      </c>
      <c r="E565">
        <v>4</v>
      </c>
      <c r="F565">
        <v>150</v>
      </c>
      <c r="G565">
        <v>600</v>
      </c>
      <c r="H565">
        <v>0.1</v>
      </c>
      <c r="I565">
        <v>60</v>
      </c>
      <c r="J565" t="s">
        <v>39</v>
      </c>
    </row>
    <row r="566" spans="1:10" x14ac:dyDescent="0.3">
      <c r="A566" t="s">
        <v>596</v>
      </c>
      <c r="B566" s="1">
        <v>43302</v>
      </c>
      <c r="C566" t="s">
        <v>11</v>
      </c>
      <c r="D566" t="s">
        <v>24</v>
      </c>
      <c r="E566">
        <v>5</v>
      </c>
      <c r="F566">
        <v>80</v>
      </c>
      <c r="G566">
        <v>400</v>
      </c>
      <c r="H566">
        <v>0.09</v>
      </c>
      <c r="I566">
        <v>36</v>
      </c>
      <c r="J566" t="s">
        <v>32</v>
      </c>
    </row>
    <row r="567" spans="1:10" x14ac:dyDescent="0.3">
      <c r="A567" t="s">
        <v>597</v>
      </c>
      <c r="B567" s="1">
        <v>43302</v>
      </c>
      <c r="C567" t="s">
        <v>15</v>
      </c>
      <c r="D567" t="s">
        <v>12</v>
      </c>
      <c r="E567">
        <v>11</v>
      </c>
      <c r="F567">
        <v>40</v>
      </c>
      <c r="G567">
        <v>440</v>
      </c>
      <c r="H567">
        <v>0.04</v>
      </c>
      <c r="I567">
        <v>17.600000000000001</v>
      </c>
      <c r="J567" t="s">
        <v>35</v>
      </c>
    </row>
    <row r="568" spans="1:10" x14ac:dyDescent="0.3">
      <c r="A568" t="s">
        <v>598</v>
      </c>
      <c r="B568" s="1">
        <v>43302</v>
      </c>
      <c r="C568" t="s">
        <v>34</v>
      </c>
      <c r="D568" t="s">
        <v>16</v>
      </c>
      <c r="E568">
        <v>13</v>
      </c>
      <c r="F568">
        <v>150</v>
      </c>
      <c r="G568">
        <v>1950</v>
      </c>
      <c r="H568">
        <v>0.08</v>
      </c>
      <c r="I568">
        <v>156</v>
      </c>
      <c r="J568" t="s">
        <v>37</v>
      </c>
    </row>
    <row r="569" spans="1:10" x14ac:dyDescent="0.3">
      <c r="A569" t="s">
        <v>599</v>
      </c>
      <c r="B569" s="1">
        <v>43302</v>
      </c>
      <c r="C569" t="s">
        <v>11</v>
      </c>
      <c r="D569" t="s">
        <v>27</v>
      </c>
      <c r="E569">
        <v>19</v>
      </c>
      <c r="F569">
        <v>80</v>
      </c>
      <c r="G569">
        <v>1520</v>
      </c>
      <c r="H569">
        <v>0.02</v>
      </c>
      <c r="I569">
        <v>30.4</v>
      </c>
      <c r="J569" t="s">
        <v>39</v>
      </c>
    </row>
    <row r="570" spans="1:10" x14ac:dyDescent="0.3">
      <c r="A570" t="s">
        <v>600</v>
      </c>
      <c r="B570" s="1">
        <v>43302</v>
      </c>
      <c r="C570" t="s">
        <v>19</v>
      </c>
      <c r="D570" t="s">
        <v>16</v>
      </c>
      <c r="E570">
        <v>7</v>
      </c>
      <c r="F570">
        <v>230</v>
      </c>
      <c r="G570">
        <v>1610</v>
      </c>
      <c r="H570">
        <v>0.01</v>
      </c>
      <c r="I570">
        <v>16.100000000000001</v>
      </c>
      <c r="J570" t="s">
        <v>32</v>
      </c>
    </row>
    <row r="571" spans="1:10" x14ac:dyDescent="0.3">
      <c r="A571" t="s">
        <v>601</v>
      </c>
      <c r="B571" s="1">
        <v>43303</v>
      </c>
      <c r="C571" t="s">
        <v>11</v>
      </c>
      <c r="D571" t="s">
        <v>31</v>
      </c>
      <c r="E571">
        <v>16</v>
      </c>
      <c r="F571">
        <v>80</v>
      </c>
      <c r="G571">
        <v>1280</v>
      </c>
      <c r="H571">
        <v>0.09</v>
      </c>
      <c r="I571">
        <v>115.2</v>
      </c>
      <c r="J571" t="s">
        <v>35</v>
      </c>
    </row>
    <row r="572" spans="1:10" x14ac:dyDescent="0.3">
      <c r="A572" t="s">
        <v>602</v>
      </c>
      <c r="B572" s="1">
        <v>43303</v>
      </c>
      <c r="C572" t="s">
        <v>19</v>
      </c>
      <c r="D572" t="s">
        <v>12</v>
      </c>
      <c r="E572">
        <v>7</v>
      </c>
      <c r="F572">
        <v>230</v>
      </c>
      <c r="G572">
        <v>1610</v>
      </c>
      <c r="H572">
        <v>0.02</v>
      </c>
      <c r="I572">
        <v>32.200000000000003</v>
      </c>
      <c r="J572" t="s">
        <v>37</v>
      </c>
    </row>
    <row r="573" spans="1:10" x14ac:dyDescent="0.3">
      <c r="A573" t="s">
        <v>603</v>
      </c>
      <c r="B573" s="1">
        <v>43303</v>
      </c>
      <c r="C573" t="s">
        <v>15</v>
      </c>
      <c r="D573" t="s">
        <v>12</v>
      </c>
      <c r="E573">
        <v>5</v>
      </c>
      <c r="F573">
        <v>40</v>
      </c>
      <c r="G573">
        <v>200</v>
      </c>
      <c r="H573">
        <v>0.06</v>
      </c>
      <c r="I573">
        <v>12</v>
      </c>
      <c r="J573" t="s">
        <v>39</v>
      </c>
    </row>
    <row r="574" spans="1:10" x14ac:dyDescent="0.3">
      <c r="A574" t="s">
        <v>604</v>
      </c>
      <c r="B574" s="1">
        <v>43303</v>
      </c>
      <c r="C574" t="s">
        <v>34</v>
      </c>
      <c r="D574" t="s">
        <v>24</v>
      </c>
      <c r="E574">
        <v>9</v>
      </c>
      <c r="F574">
        <v>150</v>
      </c>
      <c r="G574">
        <v>1350</v>
      </c>
      <c r="H574">
        <v>0.06</v>
      </c>
      <c r="I574">
        <v>81</v>
      </c>
      <c r="J574" t="s">
        <v>32</v>
      </c>
    </row>
    <row r="575" spans="1:10" x14ac:dyDescent="0.3">
      <c r="A575" t="s">
        <v>605</v>
      </c>
      <c r="B575" s="1">
        <v>43303</v>
      </c>
      <c r="C575" t="s">
        <v>15</v>
      </c>
      <c r="D575" t="s">
        <v>31</v>
      </c>
      <c r="E575">
        <v>20</v>
      </c>
      <c r="F575">
        <v>40</v>
      </c>
      <c r="G575">
        <v>800</v>
      </c>
      <c r="H575">
        <v>7.0000000000000007E-2</v>
      </c>
      <c r="I575">
        <v>56</v>
      </c>
      <c r="J575" t="s">
        <v>35</v>
      </c>
    </row>
    <row r="576" spans="1:10" x14ac:dyDescent="0.3">
      <c r="A576" t="s">
        <v>606</v>
      </c>
      <c r="B576" s="1">
        <v>43303</v>
      </c>
      <c r="C576" t="s">
        <v>30</v>
      </c>
      <c r="D576" t="s">
        <v>16</v>
      </c>
      <c r="E576">
        <v>20</v>
      </c>
      <c r="F576">
        <v>16</v>
      </c>
      <c r="G576">
        <v>320</v>
      </c>
      <c r="H576">
        <v>0.06</v>
      </c>
      <c r="I576">
        <v>19.2</v>
      </c>
      <c r="J576" t="s">
        <v>37</v>
      </c>
    </row>
    <row r="577" spans="1:10" x14ac:dyDescent="0.3">
      <c r="A577" t="s">
        <v>607</v>
      </c>
      <c r="B577" s="1">
        <v>43303</v>
      </c>
      <c r="C577" t="s">
        <v>15</v>
      </c>
      <c r="D577" t="s">
        <v>31</v>
      </c>
      <c r="E577">
        <v>5</v>
      </c>
      <c r="F577">
        <v>40</v>
      </c>
      <c r="G577">
        <v>200</v>
      </c>
      <c r="H577">
        <v>0.03</v>
      </c>
      <c r="I577">
        <v>6</v>
      </c>
      <c r="J577" t="s">
        <v>39</v>
      </c>
    </row>
    <row r="578" spans="1:10" x14ac:dyDescent="0.3">
      <c r="A578" t="s">
        <v>608</v>
      </c>
      <c r="B578" s="1">
        <v>43304</v>
      </c>
      <c r="C578" t="s">
        <v>11</v>
      </c>
      <c r="D578" t="s">
        <v>27</v>
      </c>
      <c r="E578">
        <v>7</v>
      </c>
      <c r="F578">
        <v>80</v>
      </c>
      <c r="G578">
        <v>560</v>
      </c>
      <c r="H578">
        <v>7.0000000000000007E-2</v>
      </c>
      <c r="I578">
        <v>39.200000000000003</v>
      </c>
      <c r="J578" t="s">
        <v>32</v>
      </c>
    </row>
    <row r="579" spans="1:10" x14ac:dyDescent="0.3">
      <c r="A579" t="s">
        <v>609</v>
      </c>
      <c r="B579" s="1">
        <v>43304</v>
      </c>
      <c r="C579" t="s">
        <v>30</v>
      </c>
      <c r="D579" t="s">
        <v>31</v>
      </c>
      <c r="E579">
        <v>22</v>
      </c>
      <c r="F579">
        <v>16</v>
      </c>
      <c r="G579">
        <v>352</v>
      </c>
      <c r="H579">
        <v>0.12</v>
      </c>
      <c r="I579">
        <v>42.24</v>
      </c>
      <c r="J579" t="s">
        <v>35</v>
      </c>
    </row>
    <row r="580" spans="1:10" x14ac:dyDescent="0.3">
      <c r="A580" t="s">
        <v>610</v>
      </c>
      <c r="B580" s="1">
        <v>43304</v>
      </c>
      <c r="C580" t="s">
        <v>30</v>
      </c>
      <c r="D580" t="s">
        <v>31</v>
      </c>
      <c r="E580">
        <v>11</v>
      </c>
      <c r="F580">
        <v>16</v>
      </c>
      <c r="G580">
        <v>176</v>
      </c>
      <c r="H580">
        <v>0.12</v>
      </c>
      <c r="I580">
        <v>21.12</v>
      </c>
      <c r="J580" t="s">
        <v>37</v>
      </c>
    </row>
    <row r="581" spans="1:10" x14ac:dyDescent="0.3">
      <c r="A581" t="s">
        <v>611</v>
      </c>
      <c r="B581" s="1">
        <v>43304</v>
      </c>
      <c r="C581" t="s">
        <v>19</v>
      </c>
      <c r="D581" t="s">
        <v>27</v>
      </c>
      <c r="E581">
        <v>17</v>
      </c>
      <c r="F581">
        <v>230</v>
      </c>
      <c r="G581">
        <v>3910</v>
      </c>
      <c r="H581">
        <v>0.12</v>
      </c>
      <c r="I581">
        <v>469.2</v>
      </c>
      <c r="J581" t="s">
        <v>39</v>
      </c>
    </row>
    <row r="582" spans="1:10" x14ac:dyDescent="0.3">
      <c r="A582" t="s">
        <v>612</v>
      </c>
      <c r="B582" s="1">
        <v>43304</v>
      </c>
      <c r="C582" t="s">
        <v>11</v>
      </c>
      <c r="D582" t="s">
        <v>12</v>
      </c>
      <c r="E582">
        <v>7</v>
      </c>
      <c r="F582">
        <v>80</v>
      </c>
      <c r="G582">
        <v>560</v>
      </c>
      <c r="H582">
        <v>0.02</v>
      </c>
      <c r="I582">
        <v>11.2</v>
      </c>
      <c r="J582" t="s">
        <v>32</v>
      </c>
    </row>
    <row r="583" spans="1:10" x14ac:dyDescent="0.3">
      <c r="A583" t="s">
        <v>613</v>
      </c>
      <c r="B583" s="1">
        <v>43304</v>
      </c>
      <c r="C583" t="s">
        <v>30</v>
      </c>
      <c r="D583" t="s">
        <v>16</v>
      </c>
      <c r="E583">
        <v>5</v>
      </c>
      <c r="F583">
        <v>16</v>
      </c>
      <c r="G583">
        <v>80</v>
      </c>
      <c r="H583">
        <v>0.11</v>
      </c>
      <c r="I583">
        <v>8.8000000000000007</v>
      </c>
      <c r="J583" t="s">
        <v>35</v>
      </c>
    </row>
    <row r="584" spans="1:10" x14ac:dyDescent="0.3">
      <c r="A584" t="s">
        <v>614</v>
      </c>
      <c r="B584" s="1">
        <v>43304</v>
      </c>
      <c r="C584" t="s">
        <v>34</v>
      </c>
      <c r="D584" t="s">
        <v>31</v>
      </c>
      <c r="E584">
        <v>18</v>
      </c>
      <c r="F584">
        <v>150</v>
      </c>
      <c r="G584">
        <v>2700</v>
      </c>
      <c r="H584">
        <v>0.12</v>
      </c>
      <c r="I584">
        <v>324</v>
      </c>
      <c r="J584" t="s">
        <v>37</v>
      </c>
    </row>
    <row r="585" spans="1:10" x14ac:dyDescent="0.3">
      <c r="A585" t="s">
        <v>615</v>
      </c>
      <c r="B585" s="1">
        <v>43304</v>
      </c>
      <c r="C585" t="s">
        <v>15</v>
      </c>
      <c r="D585" t="s">
        <v>31</v>
      </c>
      <c r="E585">
        <v>10</v>
      </c>
      <c r="F585">
        <v>40</v>
      </c>
      <c r="G585">
        <v>400</v>
      </c>
      <c r="H585">
        <v>0.03</v>
      </c>
      <c r="I585">
        <v>12</v>
      </c>
      <c r="J585" t="s">
        <v>39</v>
      </c>
    </row>
    <row r="586" spans="1:10" x14ac:dyDescent="0.3">
      <c r="A586" t="s">
        <v>616</v>
      </c>
      <c r="B586" s="1">
        <v>43304</v>
      </c>
      <c r="C586" t="s">
        <v>15</v>
      </c>
      <c r="D586" t="s">
        <v>31</v>
      </c>
      <c r="E586">
        <v>14</v>
      </c>
      <c r="F586">
        <v>40</v>
      </c>
      <c r="G586">
        <v>560</v>
      </c>
      <c r="H586">
        <v>0.11</v>
      </c>
      <c r="I586">
        <v>61.6</v>
      </c>
      <c r="J586" t="s">
        <v>32</v>
      </c>
    </row>
    <row r="587" spans="1:10" x14ac:dyDescent="0.3">
      <c r="A587" t="s">
        <v>617</v>
      </c>
      <c r="B587" s="1">
        <v>43304</v>
      </c>
      <c r="C587" t="s">
        <v>15</v>
      </c>
      <c r="D587" t="s">
        <v>31</v>
      </c>
      <c r="E587">
        <v>16</v>
      </c>
      <c r="F587">
        <v>40</v>
      </c>
      <c r="G587">
        <v>640</v>
      </c>
      <c r="H587">
        <v>0.09</v>
      </c>
      <c r="I587">
        <v>57.6</v>
      </c>
      <c r="J587" t="s">
        <v>35</v>
      </c>
    </row>
    <row r="588" spans="1:10" x14ac:dyDescent="0.3">
      <c r="A588" t="s">
        <v>618</v>
      </c>
      <c r="B588" s="1">
        <v>43305</v>
      </c>
      <c r="C588" t="s">
        <v>15</v>
      </c>
      <c r="D588" t="s">
        <v>27</v>
      </c>
      <c r="E588">
        <v>23</v>
      </c>
      <c r="F588">
        <v>40</v>
      </c>
      <c r="G588">
        <v>920</v>
      </c>
      <c r="H588">
        <v>0.06</v>
      </c>
      <c r="I588">
        <v>55.2</v>
      </c>
      <c r="J588" t="s">
        <v>37</v>
      </c>
    </row>
    <row r="589" spans="1:10" x14ac:dyDescent="0.3">
      <c r="A589" t="s">
        <v>619</v>
      </c>
      <c r="B589" s="1">
        <v>43305</v>
      </c>
      <c r="C589" t="s">
        <v>19</v>
      </c>
      <c r="D589" t="s">
        <v>27</v>
      </c>
      <c r="E589">
        <v>8</v>
      </c>
      <c r="F589">
        <v>230</v>
      </c>
      <c r="G589">
        <v>1840</v>
      </c>
      <c r="H589">
        <v>0.05</v>
      </c>
      <c r="I589">
        <v>92</v>
      </c>
      <c r="J589" t="s">
        <v>39</v>
      </c>
    </row>
    <row r="590" spans="1:10" x14ac:dyDescent="0.3">
      <c r="A590" t="s">
        <v>620</v>
      </c>
      <c r="B590" s="1">
        <v>43305</v>
      </c>
      <c r="C590" t="s">
        <v>30</v>
      </c>
      <c r="D590" t="s">
        <v>27</v>
      </c>
      <c r="E590">
        <v>14</v>
      </c>
      <c r="F590">
        <v>16</v>
      </c>
      <c r="G590">
        <v>224</v>
      </c>
      <c r="H590">
        <v>0.12</v>
      </c>
      <c r="I590">
        <v>26.88</v>
      </c>
      <c r="J590" t="s">
        <v>32</v>
      </c>
    </row>
    <row r="591" spans="1:10" x14ac:dyDescent="0.3">
      <c r="A591" t="s">
        <v>621</v>
      </c>
      <c r="B591" s="1">
        <v>43305</v>
      </c>
      <c r="C591" t="s">
        <v>11</v>
      </c>
      <c r="D591" t="s">
        <v>12</v>
      </c>
      <c r="E591">
        <v>17</v>
      </c>
      <c r="F591">
        <v>80</v>
      </c>
      <c r="G591">
        <v>1360</v>
      </c>
      <c r="H591">
        <v>0.09</v>
      </c>
      <c r="I591">
        <v>122.4</v>
      </c>
      <c r="J591" t="s">
        <v>35</v>
      </c>
    </row>
    <row r="592" spans="1:10" x14ac:dyDescent="0.3">
      <c r="A592" t="s">
        <v>622</v>
      </c>
      <c r="B592" s="1">
        <v>43305</v>
      </c>
      <c r="C592" t="s">
        <v>34</v>
      </c>
      <c r="D592" t="s">
        <v>24</v>
      </c>
      <c r="E592">
        <v>11</v>
      </c>
      <c r="F592">
        <v>150</v>
      </c>
      <c r="G592">
        <v>1650</v>
      </c>
      <c r="H592">
        <v>0.11</v>
      </c>
      <c r="I592">
        <v>181.5</v>
      </c>
      <c r="J592" t="s">
        <v>37</v>
      </c>
    </row>
    <row r="593" spans="1:10" x14ac:dyDescent="0.3">
      <c r="A593" t="s">
        <v>623</v>
      </c>
      <c r="B593" s="1">
        <v>43305</v>
      </c>
      <c r="C593" t="s">
        <v>15</v>
      </c>
      <c r="D593" t="s">
        <v>27</v>
      </c>
      <c r="E593">
        <v>15</v>
      </c>
      <c r="F593">
        <v>40</v>
      </c>
      <c r="G593">
        <v>600</v>
      </c>
      <c r="H593">
        <v>0.03</v>
      </c>
      <c r="I593">
        <v>18</v>
      </c>
      <c r="J593" t="s">
        <v>39</v>
      </c>
    </row>
    <row r="594" spans="1:10" x14ac:dyDescent="0.3">
      <c r="A594" t="s">
        <v>624</v>
      </c>
      <c r="B594" s="1">
        <v>43305</v>
      </c>
      <c r="C594" t="s">
        <v>11</v>
      </c>
      <c r="D594" t="s">
        <v>31</v>
      </c>
      <c r="E594">
        <v>9</v>
      </c>
      <c r="F594">
        <v>80</v>
      </c>
      <c r="G594">
        <v>720</v>
      </c>
      <c r="H594">
        <v>7.0000000000000007E-2</v>
      </c>
      <c r="I594">
        <v>50.4</v>
      </c>
      <c r="J594" t="s">
        <v>32</v>
      </c>
    </row>
    <row r="595" spans="1:10" x14ac:dyDescent="0.3">
      <c r="A595" t="s">
        <v>625</v>
      </c>
      <c r="B595" s="1">
        <v>43305</v>
      </c>
      <c r="C595" t="s">
        <v>19</v>
      </c>
      <c r="D595" t="s">
        <v>16</v>
      </c>
      <c r="E595">
        <v>22</v>
      </c>
      <c r="F595">
        <v>230</v>
      </c>
      <c r="G595">
        <v>5060</v>
      </c>
      <c r="H595">
        <v>0.04</v>
      </c>
      <c r="I595">
        <v>202.4</v>
      </c>
      <c r="J595" t="s">
        <v>35</v>
      </c>
    </row>
    <row r="596" spans="1:10" x14ac:dyDescent="0.3">
      <c r="A596" t="s">
        <v>626</v>
      </c>
      <c r="B596" s="1">
        <v>43305</v>
      </c>
      <c r="C596" t="s">
        <v>19</v>
      </c>
      <c r="D596" t="s">
        <v>16</v>
      </c>
      <c r="E596">
        <v>11</v>
      </c>
      <c r="F596">
        <v>230</v>
      </c>
      <c r="G596">
        <v>2530</v>
      </c>
      <c r="H596">
        <v>0.1</v>
      </c>
      <c r="I596">
        <v>253</v>
      </c>
      <c r="J596" t="s">
        <v>37</v>
      </c>
    </row>
    <row r="597" spans="1:10" x14ac:dyDescent="0.3">
      <c r="A597" t="s">
        <v>627</v>
      </c>
      <c r="B597" s="1">
        <v>43305</v>
      </c>
      <c r="C597" t="s">
        <v>15</v>
      </c>
      <c r="D597" t="s">
        <v>24</v>
      </c>
      <c r="E597">
        <v>11</v>
      </c>
      <c r="F597">
        <v>40</v>
      </c>
      <c r="G597">
        <v>440</v>
      </c>
      <c r="H597">
        <v>0.12</v>
      </c>
      <c r="I597">
        <v>52.8</v>
      </c>
      <c r="J597" t="s">
        <v>39</v>
      </c>
    </row>
    <row r="598" spans="1:10" x14ac:dyDescent="0.3">
      <c r="A598" t="s">
        <v>628</v>
      </c>
      <c r="B598" s="1">
        <v>43305</v>
      </c>
      <c r="C598" t="s">
        <v>15</v>
      </c>
      <c r="D598" t="s">
        <v>27</v>
      </c>
      <c r="E598">
        <v>9</v>
      </c>
      <c r="F598">
        <v>40</v>
      </c>
      <c r="G598">
        <v>360</v>
      </c>
      <c r="H598">
        <v>0.06</v>
      </c>
      <c r="I598">
        <v>21.6</v>
      </c>
      <c r="J598" t="s">
        <v>32</v>
      </c>
    </row>
    <row r="599" spans="1:10" x14ac:dyDescent="0.3">
      <c r="A599" t="s">
        <v>629</v>
      </c>
      <c r="B599" s="1">
        <v>43306</v>
      </c>
      <c r="C599" t="s">
        <v>15</v>
      </c>
      <c r="D599" t="s">
        <v>27</v>
      </c>
      <c r="E599">
        <v>13</v>
      </c>
      <c r="F599">
        <v>40</v>
      </c>
      <c r="G599">
        <v>520</v>
      </c>
      <c r="H599">
        <v>0.09</v>
      </c>
      <c r="I599">
        <v>46.8</v>
      </c>
      <c r="J599" t="s">
        <v>35</v>
      </c>
    </row>
    <row r="600" spans="1:10" x14ac:dyDescent="0.3">
      <c r="A600" t="s">
        <v>630</v>
      </c>
      <c r="B600" s="1">
        <v>43306</v>
      </c>
      <c r="C600" t="s">
        <v>15</v>
      </c>
      <c r="D600" t="s">
        <v>16</v>
      </c>
      <c r="E600">
        <v>4</v>
      </c>
      <c r="F600">
        <v>40</v>
      </c>
      <c r="G600">
        <v>160</v>
      </c>
      <c r="H600">
        <v>0.12</v>
      </c>
      <c r="I600">
        <v>19.2</v>
      </c>
      <c r="J600" t="s">
        <v>37</v>
      </c>
    </row>
    <row r="601" spans="1:10" x14ac:dyDescent="0.3">
      <c r="A601" t="s">
        <v>631</v>
      </c>
      <c r="B601" s="1">
        <v>43306</v>
      </c>
      <c r="C601" t="s">
        <v>34</v>
      </c>
      <c r="D601" t="s">
        <v>12</v>
      </c>
      <c r="E601">
        <v>22</v>
      </c>
      <c r="F601">
        <v>150</v>
      </c>
      <c r="G601">
        <v>3300</v>
      </c>
      <c r="H601">
        <v>0.05</v>
      </c>
      <c r="I601">
        <v>165</v>
      </c>
      <c r="J601" t="s">
        <v>39</v>
      </c>
    </row>
    <row r="602" spans="1:10" x14ac:dyDescent="0.3">
      <c r="A602" t="s">
        <v>632</v>
      </c>
      <c r="B602" s="1">
        <v>43306</v>
      </c>
      <c r="C602" t="s">
        <v>15</v>
      </c>
      <c r="D602" t="s">
        <v>31</v>
      </c>
      <c r="E602">
        <v>21</v>
      </c>
      <c r="F602">
        <v>40</v>
      </c>
      <c r="G602">
        <v>840</v>
      </c>
      <c r="H602">
        <v>0.01</v>
      </c>
      <c r="I602">
        <v>8.4</v>
      </c>
      <c r="J602" t="s">
        <v>32</v>
      </c>
    </row>
    <row r="603" spans="1:10" x14ac:dyDescent="0.3">
      <c r="A603" t="s">
        <v>633</v>
      </c>
      <c r="B603" s="1">
        <v>43306</v>
      </c>
      <c r="C603" t="s">
        <v>30</v>
      </c>
      <c r="D603" t="s">
        <v>12</v>
      </c>
      <c r="E603">
        <v>16</v>
      </c>
      <c r="F603">
        <v>16</v>
      </c>
      <c r="G603">
        <v>256</v>
      </c>
      <c r="H603">
        <v>0.03</v>
      </c>
      <c r="I603">
        <v>7.68</v>
      </c>
      <c r="J603" t="s">
        <v>35</v>
      </c>
    </row>
    <row r="604" spans="1:10" x14ac:dyDescent="0.3">
      <c r="A604" t="s">
        <v>634</v>
      </c>
      <c r="B604" s="1">
        <v>43306</v>
      </c>
      <c r="C604" t="s">
        <v>11</v>
      </c>
      <c r="D604" t="s">
        <v>27</v>
      </c>
      <c r="E604">
        <v>16</v>
      </c>
      <c r="F604">
        <v>80</v>
      </c>
      <c r="G604">
        <v>1280</v>
      </c>
      <c r="H604">
        <v>7.0000000000000007E-2</v>
      </c>
      <c r="I604">
        <v>89.6</v>
      </c>
      <c r="J604" t="s">
        <v>37</v>
      </c>
    </row>
    <row r="605" spans="1:10" x14ac:dyDescent="0.3">
      <c r="A605" t="s">
        <v>635</v>
      </c>
      <c r="B605" s="1">
        <v>43306</v>
      </c>
      <c r="C605" t="s">
        <v>11</v>
      </c>
      <c r="D605" t="s">
        <v>16</v>
      </c>
      <c r="E605">
        <v>15</v>
      </c>
      <c r="F605">
        <v>80</v>
      </c>
      <c r="G605">
        <v>1200</v>
      </c>
      <c r="H605">
        <v>0.12</v>
      </c>
      <c r="I605">
        <v>144</v>
      </c>
      <c r="J605" t="s">
        <v>39</v>
      </c>
    </row>
    <row r="606" spans="1:10" x14ac:dyDescent="0.3">
      <c r="A606" t="s">
        <v>636</v>
      </c>
      <c r="B606" s="1">
        <v>43306</v>
      </c>
      <c r="C606" t="s">
        <v>34</v>
      </c>
      <c r="D606" t="s">
        <v>12</v>
      </c>
      <c r="E606">
        <v>20</v>
      </c>
      <c r="F606">
        <v>150</v>
      </c>
      <c r="G606">
        <v>3000</v>
      </c>
      <c r="H606">
        <v>0.03</v>
      </c>
      <c r="I606">
        <v>90</v>
      </c>
      <c r="J606" t="s">
        <v>32</v>
      </c>
    </row>
    <row r="607" spans="1:10" x14ac:dyDescent="0.3">
      <c r="A607" t="s">
        <v>637</v>
      </c>
      <c r="B607" s="1">
        <v>43306</v>
      </c>
      <c r="C607" t="s">
        <v>15</v>
      </c>
      <c r="D607" t="s">
        <v>27</v>
      </c>
      <c r="E607">
        <v>13</v>
      </c>
      <c r="F607">
        <v>40</v>
      </c>
      <c r="G607">
        <v>520</v>
      </c>
      <c r="H607">
        <v>0.06</v>
      </c>
      <c r="I607">
        <v>31.2</v>
      </c>
      <c r="J607" t="s">
        <v>35</v>
      </c>
    </row>
    <row r="608" spans="1:10" x14ac:dyDescent="0.3">
      <c r="A608" t="s">
        <v>638</v>
      </c>
      <c r="B608" s="1">
        <v>43306</v>
      </c>
      <c r="C608" t="s">
        <v>30</v>
      </c>
      <c r="D608" t="s">
        <v>31</v>
      </c>
      <c r="E608">
        <v>3</v>
      </c>
      <c r="F608">
        <v>16</v>
      </c>
      <c r="G608">
        <v>48</v>
      </c>
      <c r="H608">
        <v>0.06</v>
      </c>
      <c r="I608">
        <v>2.88</v>
      </c>
      <c r="J608" t="s">
        <v>37</v>
      </c>
    </row>
    <row r="609" spans="1:10" x14ac:dyDescent="0.3">
      <c r="A609" t="s">
        <v>639</v>
      </c>
      <c r="B609" s="1">
        <v>43306</v>
      </c>
      <c r="C609" t="s">
        <v>30</v>
      </c>
      <c r="D609" t="s">
        <v>24</v>
      </c>
      <c r="E609">
        <v>11</v>
      </c>
      <c r="F609">
        <v>16</v>
      </c>
      <c r="G609">
        <v>176</v>
      </c>
      <c r="H609">
        <v>0.04</v>
      </c>
      <c r="I609">
        <v>7.04</v>
      </c>
      <c r="J609" t="s">
        <v>39</v>
      </c>
    </row>
    <row r="610" spans="1:10" x14ac:dyDescent="0.3">
      <c r="A610" t="s">
        <v>640</v>
      </c>
      <c r="B610" s="1">
        <v>43307</v>
      </c>
      <c r="C610" t="s">
        <v>15</v>
      </c>
      <c r="D610" t="s">
        <v>31</v>
      </c>
      <c r="E610">
        <v>16</v>
      </c>
      <c r="F610">
        <v>40</v>
      </c>
      <c r="G610">
        <v>640</v>
      </c>
      <c r="H610">
        <v>0.09</v>
      </c>
      <c r="I610">
        <v>57.6</v>
      </c>
      <c r="J610" t="s">
        <v>32</v>
      </c>
    </row>
    <row r="611" spans="1:10" x14ac:dyDescent="0.3">
      <c r="A611" t="s">
        <v>641</v>
      </c>
      <c r="B611" s="1">
        <v>43307</v>
      </c>
      <c r="C611" t="s">
        <v>15</v>
      </c>
      <c r="D611" t="s">
        <v>24</v>
      </c>
      <c r="E611">
        <v>4</v>
      </c>
      <c r="F611">
        <v>40</v>
      </c>
      <c r="G611">
        <v>160</v>
      </c>
      <c r="H611">
        <v>0.06</v>
      </c>
      <c r="I611">
        <v>9.6</v>
      </c>
      <c r="J611" t="s">
        <v>35</v>
      </c>
    </row>
    <row r="612" spans="1:10" x14ac:dyDescent="0.3">
      <c r="A612" t="s">
        <v>642</v>
      </c>
      <c r="B612" s="1">
        <v>43307</v>
      </c>
      <c r="C612" t="s">
        <v>15</v>
      </c>
      <c r="D612" t="s">
        <v>24</v>
      </c>
      <c r="E612">
        <v>20</v>
      </c>
      <c r="F612">
        <v>40</v>
      </c>
      <c r="G612">
        <v>800</v>
      </c>
      <c r="H612">
        <v>0.01</v>
      </c>
      <c r="I612">
        <v>8</v>
      </c>
      <c r="J612" t="s">
        <v>37</v>
      </c>
    </row>
    <row r="613" spans="1:10" x14ac:dyDescent="0.3">
      <c r="A613" t="s">
        <v>643</v>
      </c>
      <c r="B613" s="1">
        <v>43307</v>
      </c>
      <c r="C613" t="s">
        <v>15</v>
      </c>
      <c r="D613" t="s">
        <v>24</v>
      </c>
      <c r="E613">
        <v>4</v>
      </c>
      <c r="F613">
        <v>40</v>
      </c>
      <c r="G613">
        <v>160</v>
      </c>
      <c r="H613">
        <v>0.1</v>
      </c>
      <c r="I613">
        <v>16</v>
      </c>
      <c r="J613" t="s">
        <v>39</v>
      </c>
    </row>
    <row r="614" spans="1:10" x14ac:dyDescent="0.3">
      <c r="A614" t="s">
        <v>644</v>
      </c>
      <c r="B614" s="1">
        <v>43307</v>
      </c>
      <c r="C614" t="s">
        <v>11</v>
      </c>
      <c r="D614" t="s">
        <v>16</v>
      </c>
      <c r="E614">
        <v>14</v>
      </c>
      <c r="F614">
        <v>80</v>
      </c>
      <c r="G614">
        <v>1120</v>
      </c>
      <c r="H614">
        <v>0.06</v>
      </c>
      <c r="I614">
        <v>67.2</v>
      </c>
      <c r="J614" t="s">
        <v>32</v>
      </c>
    </row>
    <row r="615" spans="1:10" x14ac:dyDescent="0.3">
      <c r="A615" t="s">
        <v>645</v>
      </c>
      <c r="B615" s="1">
        <v>43307</v>
      </c>
      <c r="C615" t="s">
        <v>34</v>
      </c>
      <c r="D615" t="s">
        <v>16</v>
      </c>
      <c r="E615">
        <v>15</v>
      </c>
      <c r="F615">
        <v>150</v>
      </c>
      <c r="G615">
        <v>2250</v>
      </c>
      <c r="H615">
        <v>0.02</v>
      </c>
      <c r="I615">
        <v>45</v>
      </c>
      <c r="J615" t="s">
        <v>35</v>
      </c>
    </row>
    <row r="616" spans="1:10" x14ac:dyDescent="0.3">
      <c r="A616" t="s">
        <v>646</v>
      </c>
      <c r="B616" s="1">
        <v>43307</v>
      </c>
      <c r="C616" t="s">
        <v>11</v>
      </c>
      <c r="D616" t="s">
        <v>24</v>
      </c>
      <c r="E616">
        <v>14</v>
      </c>
      <c r="F616">
        <v>80</v>
      </c>
      <c r="G616">
        <v>1120</v>
      </c>
      <c r="H616">
        <v>0.1</v>
      </c>
      <c r="I616">
        <v>112</v>
      </c>
      <c r="J616" t="s">
        <v>37</v>
      </c>
    </row>
    <row r="617" spans="1:10" x14ac:dyDescent="0.3">
      <c r="A617" t="s">
        <v>647</v>
      </c>
      <c r="B617" s="1">
        <v>43307</v>
      </c>
      <c r="C617" t="s">
        <v>34</v>
      </c>
      <c r="D617" t="s">
        <v>12</v>
      </c>
      <c r="E617">
        <v>20</v>
      </c>
      <c r="F617">
        <v>150</v>
      </c>
      <c r="G617">
        <v>3000</v>
      </c>
      <c r="H617">
        <v>0.04</v>
      </c>
      <c r="I617">
        <v>120</v>
      </c>
      <c r="J617" t="s">
        <v>39</v>
      </c>
    </row>
    <row r="618" spans="1:10" x14ac:dyDescent="0.3">
      <c r="A618" t="s">
        <v>648</v>
      </c>
      <c r="B618" s="1">
        <v>43307</v>
      </c>
      <c r="C618" t="s">
        <v>11</v>
      </c>
      <c r="D618" t="s">
        <v>31</v>
      </c>
      <c r="E618">
        <v>22</v>
      </c>
      <c r="F618">
        <v>80</v>
      </c>
      <c r="G618">
        <v>1760</v>
      </c>
      <c r="H618">
        <v>0.1</v>
      </c>
      <c r="I618">
        <v>176</v>
      </c>
      <c r="J618" t="s">
        <v>32</v>
      </c>
    </row>
    <row r="619" spans="1:10" x14ac:dyDescent="0.3">
      <c r="A619" t="s">
        <v>649</v>
      </c>
      <c r="B619" s="1">
        <v>43307</v>
      </c>
      <c r="C619" t="s">
        <v>19</v>
      </c>
      <c r="D619" t="s">
        <v>31</v>
      </c>
      <c r="E619">
        <v>20</v>
      </c>
      <c r="F619">
        <v>230</v>
      </c>
      <c r="G619">
        <v>4600</v>
      </c>
      <c r="H619">
        <v>0.09</v>
      </c>
      <c r="I619">
        <v>414</v>
      </c>
      <c r="J619" t="s">
        <v>35</v>
      </c>
    </row>
    <row r="620" spans="1:10" x14ac:dyDescent="0.3">
      <c r="A620" t="s">
        <v>650</v>
      </c>
      <c r="B620" s="1">
        <v>43307</v>
      </c>
      <c r="C620" t="s">
        <v>19</v>
      </c>
      <c r="D620" t="s">
        <v>24</v>
      </c>
      <c r="E620">
        <v>12</v>
      </c>
      <c r="F620">
        <v>230</v>
      </c>
      <c r="G620">
        <v>2760</v>
      </c>
      <c r="H620">
        <v>0.03</v>
      </c>
      <c r="I620">
        <v>82.8</v>
      </c>
      <c r="J620" t="s">
        <v>37</v>
      </c>
    </row>
    <row r="621" spans="1:10" x14ac:dyDescent="0.3">
      <c r="A621" t="s">
        <v>651</v>
      </c>
      <c r="B621" s="1">
        <v>43308</v>
      </c>
      <c r="C621" t="s">
        <v>11</v>
      </c>
      <c r="D621" t="s">
        <v>12</v>
      </c>
      <c r="E621">
        <v>21</v>
      </c>
      <c r="F621">
        <v>80</v>
      </c>
      <c r="G621">
        <v>1680</v>
      </c>
      <c r="H621">
        <v>0.04</v>
      </c>
      <c r="I621">
        <v>67.2</v>
      </c>
      <c r="J621" t="s">
        <v>39</v>
      </c>
    </row>
    <row r="622" spans="1:10" x14ac:dyDescent="0.3">
      <c r="A622" t="s">
        <v>652</v>
      </c>
      <c r="B622" s="1">
        <v>43308</v>
      </c>
      <c r="C622" t="s">
        <v>15</v>
      </c>
      <c r="D622" t="s">
        <v>16</v>
      </c>
      <c r="E622">
        <v>15</v>
      </c>
      <c r="F622">
        <v>40</v>
      </c>
      <c r="G622">
        <v>600</v>
      </c>
      <c r="H622">
        <v>0.04</v>
      </c>
      <c r="I622">
        <v>24</v>
      </c>
      <c r="J622" t="s">
        <v>32</v>
      </c>
    </row>
    <row r="623" spans="1:10" x14ac:dyDescent="0.3">
      <c r="A623" t="s">
        <v>653</v>
      </c>
      <c r="B623" s="1">
        <v>43308</v>
      </c>
      <c r="C623" t="s">
        <v>11</v>
      </c>
      <c r="D623" t="s">
        <v>27</v>
      </c>
      <c r="E623">
        <v>16</v>
      </c>
      <c r="F623">
        <v>80</v>
      </c>
      <c r="G623">
        <v>1280</v>
      </c>
      <c r="H623">
        <v>0.1</v>
      </c>
      <c r="I623">
        <v>128</v>
      </c>
      <c r="J623" t="s">
        <v>35</v>
      </c>
    </row>
    <row r="624" spans="1:10" x14ac:dyDescent="0.3">
      <c r="A624" t="s">
        <v>654</v>
      </c>
      <c r="B624" s="1">
        <v>43308</v>
      </c>
      <c r="C624" t="s">
        <v>19</v>
      </c>
      <c r="D624" t="s">
        <v>31</v>
      </c>
      <c r="E624">
        <v>17</v>
      </c>
      <c r="F624">
        <v>230</v>
      </c>
      <c r="G624">
        <v>3910</v>
      </c>
      <c r="H624">
        <v>0.11</v>
      </c>
      <c r="I624">
        <v>430.1</v>
      </c>
      <c r="J624" t="s">
        <v>37</v>
      </c>
    </row>
    <row r="625" spans="1:10" x14ac:dyDescent="0.3">
      <c r="A625" t="s">
        <v>655</v>
      </c>
      <c r="B625" s="1">
        <v>43308</v>
      </c>
      <c r="C625" t="s">
        <v>19</v>
      </c>
      <c r="D625" t="s">
        <v>31</v>
      </c>
      <c r="E625">
        <v>5</v>
      </c>
      <c r="F625">
        <v>230</v>
      </c>
      <c r="G625">
        <v>1150</v>
      </c>
      <c r="H625">
        <v>0.12</v>
      </c>
      <c r="I625">
        <v>138</v>
      </c>
      <c r="J625" t="s">
        <v>39</v>
      </c>
    </row>
    <row r="626" spans="1:10" x14ac:dyDescent="0.3">
      <c r="A626" t="s">
        <v>656</v>
      </c>
      <c r="B626" s="1">
        <v>43308</v>
      </c>
      <c r="C626" t="s">
        <v>30</v>
      </c>
      <c r="D626" t="s">
        <v>12</v>
      </c>
      <c r="E626">
        <v>20</v>
      </c>
      <c r="F626">
        <v>16</v>
      </c>
      <c r="G626">
        <v>320</v>
      </c>
      <c r="H626">
        <v>0.01</v>
      </c>
      <c r="I626">
        <v>3.2</v>
      </c>
      <c r="J626" t="s">
        <v>32</v>
      </c>
    </row>
    <row r="627" spans="1:10" x14ac:dyDescent="0.3">
      <c r="A627" t="s">
        <v>657</v>
      </c>
      <c r="B627" s="1">
        <v>43308</v>
      </c>
      <c r="C627" t="s">
        <v>19</v>
      </c>
      <c r="D627" t="s">
        <v>12</v>
      </c>
      <c r="E627">
        <v>5</v>
      </c>
      <c r="F627">
        <v>230</v>
      </c>
      <c r="G627">
        <v>1150</v>
      </c>
      <c r="H627">
        <v>0.1</v>
      </c>
      <c r="I627">
        <v>115</v>
      </c>
      <c r="J627" t="s">
        <v>35</v>
      </c>
    </row>
    <row r="628" spans="1:10" x14ac:dyDescent="0.3">
      <c r="A628" t="s">
        <v>658</v>
      </c>
      <c r="B628" s="1">
        <v>43308</v>
      </c>
      <c r="C628" t="s">
        <v>15</v>
      </c>
      <c r="D628" t="s">
        <v>16</v>
      </c>
      <c r="E628">
        <v>8</v>
      </c>
      <c r="F628">
        <v>40</v>
      </c>
      <c r="G628">
        <v>320</v>
      </c>
      <c r="H628">
        <v>0.09</v>
      </c>
      <c r="I628">
        <v>28.8</v>
      </c>
      <c r="J628" t="s">
        <v>37</v>
      </c>
    </row>
    <row r="629" spans="1:10" x14ac:dyDescent="0.3">
      <c r="A629" t="s">
        <v>659</v>
      </c>
      <c r="B629" s="1">
        <v>43308</v>
      </c>
      <c r="C629" t="s">
        <v>30</v>
      </c>
      <c r="D629" t="s">
        <v>12</v>
      </c>
      <c r="E629">
        <v>7</v>
      </c>
      <c r="F629">
        <v>16</v>
      </c>
      <c r="G629">
        <v>112</v>
      </c>
      <c r="H629">
        <v>0.02</v>
      </c>
      <c r="I629">
        <v>2.2400000000000002</v>
      </c>
      <c r="J629" t="s">
        <v>39</v>
      </c>
    </row>
    <row r="630" spans="1:10" x14ac:dyDescent="0.3">
      <c r="A630" t="s">
        <v>660</v>
      </c>
      <c r="B630" s="1">
        <v>43308</v>
      </c>
      <c r="C630" t="s">
        <v>34</v>
      </c>
      <c r="D630" t="s">
        <v>27</v>
      </c>
      <c r="E630">
        <v>15</v>
      </c>
      <c r="F630">
        <v>150</v>
      </c>
      <c r="G630">
        <v>2250</v>
      </c>
      <c r="H630">
        <v>0.08</v>
      </c>
      <c r="I630">
        <v>180</v>
      </c>
      <c r="J630" t="s">
        <v>32</v>
      </c>
    </row>
    <row r="631" spans="1:10" x14ac:dyDescent="0.3">
      <c r="A631" t="s">
        <v>661</v>
      </c>
      <c r="B631" s="1">
        <v>43308</v>
      </c>
      <c r="C631" t="s">
        <v>19</v>
      </c>
      <c r="D631" t="s">
        <v>31</v>
      </c>
      <c r="E631">
        <v>20</v>
      </c>
      <c r="F631">
        <v>230</v>
      </c>
      <c r="G631">
        <v>4600</v>
      </c>
      <c r="H631">
        <v>0.11</v>
      </c>
      <c r="I631">
        <v>506</v>
      </c>
      <c r="J631" t="s">
        <v>35</v>
      </c>
    </row>
    <row r="632" spans="1:10" x14ac:dyDescent="0.3">
      <c r="A632" t="s">
        <v>662</v>
      </c>
      <c r="B632" s="1">
        <v>43308</v>
      </c>
      <c r="C632" t="s">
        <v>30</v>
      </c>
      <c r="D632" t="s">
        <v>16</v>
      </c>
      <c r="E632">
        <v>4</v>
      </c>
      <c r="F632">
        <v>16</v>
      </c>
      <c r="G632">
        <v>64</v>
      </c>
      <c r="H632">
        <v>0.09</v>
      </c>
      <c r="I632">
        <v>5.76</v>
      </c>
      <c r="J632" t="s">
        <v>37</v>
      </c>
    </row>
    <row r="633" spans="1:10" x14ac:dyDescent="0.3">
      <c r="A633" t="s">
        <v>663</v>
      </c>
      <c r="B633" s="1">
        <v>43308</v>
      </c>
      <c r="C633" t="s">
        <v>15</v>
      </c>
      <c r="D633" t="s">
        <v>27</v>
      </c>
      <c r="E633">
        <v>11</v>
      </c>
      <c r="F633">
        <v>40</v>
      </c>
      <c r="G633">
        <v>440</v>
      </c>
      <c r="H633">
        <v>0.09</v>
      </c>
      <c r="I633">
        <v>39.6</v>
      </c>
      <c r="J633" t="s">
        <v>39</v>
      </c>
    </row>
    <row r="634" spans="1:10" x14ac:dyDescent="0.3">
      <c r="A634" t="s">
        <v>664</v>
      </c>
      <c r="B634" s="1">
        <v>43308</v>
      </c>
      <c r="C634" t="s">
        <v>34</v>
      </c>
      <c r="D634" t="s">
        <v>24</v>
      </c>
      <c r="E634">
        <v>15</v>
      </c>
      <c r="F634">
        <v>150</v>
      </c>
      <c r="G634">
        <v>2250</v>
      </c>
      <c r="H634">
        <v>0.05</v>
      </c>
      <c r="I634">
        <v>112.5</v>
      </c>
      <c r="J634" t="s">
        <v>32</v>
      </c>
    </row>
    <row r="635" spans="1:10" x14ac:dyDescent="0.3">
      <c r="A635" t="s">
        <v>665</v>
      </c>
      <c r="B635" s="1">
        <v>43308</v>
      </c>
      <c r="C635" t="s">
        <v>19</v>
      </c>
      <c r="D635" t="s">
        <v>24</v>
      </c>
      <c r="E635">
        <v>5</v>
      </c>
      <c r="F635">
        <v>230</v>
      </c>
      <c r="G635">
        <v>1150</v>
      </c>
      <c r="H635">
        <v>0.01</v>
      </c>
      <c r="I635">
        <v>11.5</v>
      </c>
      <c r="J635" t="s">
        <v>35</v>
      </c>
    </row>
    <row r="636" spans="1:10" x14ac:dyDescent="0.3">
      <c r="A636" t="s">
        <v>666</v>
      </c>
      <c r="B636" s="1">
        <v>43308</v>
      </c>
      <c r="C636" t="s">
        <v>19</v>
      </c>
      <c r="D636" t="s">
        <v>24</v>
      </c>
      <c r="E636">
        <v>14</v>
      </c>
      <c r="F636">
        <v>230</v>
      </c>
      <c r="G636">
        <v>3220</v>
      </c>
      <c r="H636">
        <v>0.03</v>
      </c>
      <c r="I636">
        <v>96.6</v>
      </c>
      <c r="J636" t="s">
        <v>37</v>
      </c>
    </row>
    <row r="637" spans="1:10" x14ac:dyDescent="0.3">
      <c r="A637" t="s">
        <v>667</v>
      </c>
      <c r="B637" s="1">
        <v>43308</v>
      </c>
      <c r="C637" t="s">
        <v>15</v>
      </c>
      <c r="D637" t="s">
        <v>31</v>
      </c>
      <c r="E637">
        <v>23</v>
      </c>
      <c r="F637">
        <v>40</v>
      </c>
      <c r="G637">
        <v>920</v>
      </c>
      <c r="H637">
        <v>0.05</v>
      </c>
      <c r="I637">
        <v>46</v>
      </c>
      <c r="J637" t="s">
        <v>39</v>
      </c>
    </row>
    <row r="638" spans="1:10" x14ac:dyDescent="0.3">
      <c r="A638" t="s">
        <v>668</v>
      </c>
      <c r="B638" s="1">
        <v>43308</v>
      </c>
      <c r="C638" t="s">
        <v>11</v>
      </c>
      <c r="D638" t="s">
        <v>27</v>
      </c>
      <c r="E638">
        <v>22</v>
      </c>
      <c r="F638">
        <v>80</v>
      </c>
      <c r="G638">
        <v>1760</v>
      </c>
      <c r="H638">
        <v>0.03</v>
      </c>
      <c r="I638">
        <v>52.8</v>
      </c>
      <c r="J638" t="s">
        <v>32</v>
      </c>
    </row>
    <row r="639" spans="1:10" x14ac:dyDescent="0.3">
      <c r="A639" t="s">
        <v>669</v>
      </c>
      <c r="B639" s="1">
        <v>43309</v>
      </c>
      <c r="C639" t="s">
        <v>19</v>
      </c>
      <c r="D639" t="s">
        <v>24</v>
      </c>
      <c r="E639">
        <v>20</v>
      </c>
      <c r="F639">
        <v>230</v>
      </c>
      <c r="G639">
        <v>4600</v>
      </c>
      <c r="H639">
        <v>0.06</v>
      </c>
      <c r="I639">
        <v>276</v>
      </c>
      <c r="J639" t="s">
        <v>35</v>
      </c>
    </row>
    <row r="640" spans="1:10" x14ac:dyDescent="0.3">
      <c r="A640" t="s">
        <v>670</v>
      </c>
      <c r="B640" s="1">
        <v>43309</v>
      </c>
      <c r="C640" t="s">
        <v>19</v>
      </c>
      <c r="D640" t="s">
        <v>16</v>
      </c>
      <c r="E640">
        <v>15</v>
      </c>
      <c r="F640">
        <v>230</v>
      </c>
      <c r="G640">
        <v>3450</v>
      </c>
      <c r="H640">
        <v>0.09</v>
      </c>
      <c r="I640">
        <v>310.5</v>
      </c>
      <c r="J640" t="s">
        <v>37</v>
      </c>
    </row>
    <row r="641" spans="1:10" x14ac:dyDescent="0.3">
      <c r="A641" t="s">
        <v>671</v>
      </c>
      <c r="B641" s="1">
        <v>43309</v>
      </c>
      <c r="C641" t="s">
        <v>34</v>
      </c>
      <c r="D641" t="s">
        <v>24</v>
      </c>
      <c r="E641">
        <v>18</v>
      </c>
      <c r="F641">
        <v>150</v>
      </c>
      <c r="G641">
        <v>2700</v>
      </c>
      <c r="H641">
        <v>0.06</v>
      </c>
      <c r="I641">
        <v>162</v>
      </c>
      <c r="J641" t="s">
        <v>39</v>
      </c>
    </row>
    <row r="642" spans="1:10" x14ac:dyDescent="0.3">
      <c r="A642" t="s">
        <v>672</v>
      </c>
      <c r="B642" s="1">
        <v>43309</v>
      </c>
      <c r="C642" t="s">
        <v>19</v>
      </c>
      <c r="D642" t="s">
        <v>12</v>
      </c>
      <c r="E642">
        <v>3</v>
      </c>
      <c r="F642">
        <v>230</v>
      </c>
      <c r="G642">
        <v>690</v>
      </c>
      <c r="H642">
        <v>0.11</v>
      </c>
      <c r="I642">
        <v>75.900000000000006</v>
      </c>
      <c r="J642" t="s">
        <v>32</v>
      </c>
    </row>
    <row r="643" spans="1:10" x14ac:dyDescent="0.3">
      <c r="A643" t="s">
        <v>673</v>
      </c>
      <c r="B643" s="1">
        <v>43309</v>
      </c>
      <c r="C643" t="s">
        <v>34</v>
      </c>
      <c r="D643" t="s">
        <v>31</v>
      </c>
      <c r="E643">
        <v>11</v>
      </c>
      <c r="F643">
        <v>150</v>
      </c>
      <c r="G643">
        <v>1650</v>
      </c>
      <c r="H643">
        <v>0.09</v>
      </c>
      <c r="I643">
        <v>148.5</v>
      </c>
      <c r="J643" t="s">
        <v>35</v>
      </c>
    </row>
    <row r="644" spans="1:10" x14ac:dyDescent="0.3">
      <c r="A644" t="s">
        <v>674</v>
      </c>
      <c r="B644" s="1">
        <v>43309</v>
      </c>
      <c r="C644" t="s">
        <v>19</v>
      </c>
      <c r="D644" t="s">
        <v>12</v>
      </c>
      <c r="E644">
        <v>11</v>
      </c>
      <c r="F644">
        <v>230</v>
      </c>
      <c r="G644">
        <v>2530</v>
      </c>
      <c r="H644">
        <v>0.02</v>
      </c>
      <c r="I644">
        <v>50.6</v>
      </c>
      <c r="J644" t="s">
        <v>37</v>
      </c>
    </row>
    <row r="645" spans="1:10" x14ac:dyDescent="0.3">
      <c r="A645" t="s">
        <v>675</v>
      </c>
      <c r="B645" s="1">
        <v>43309</v>
      </c>
      <c r="C645" t="s">
        <v>19</v>
      </c>
      <c r="D645" t="s">
        <v>31</v>
      </c>
      <c r="E645">
        <v>13</v>
      </c>
      <c r="F645">
        <v>230</v>
      </c>
      <c r="G645">
        <v>2990</v>
      </c>
      <c r="H645">
        <v>0.06</v>
      </c>
      <c r="I645">
        <v>179.4</v>
      </c>
      <c r="J645" t="s">
        <v>39</v>
      </c>
    </row>
    <row r="646" spans="1:10" x14ac:dyDescent="0.3">
      <c r="A646" t="s">
        <v>676</v>
      </c>
      <c r="B646" s="1">
        <v>43310</v>
      </c>
      <c r="C646" t="s">
        <v>11</v>
      </c>
      <c r="D646" t="s">
        <v>27</v>
      </c>
      <c r="E646">
        <v>11</v>
      </c>
      <c r="F646">
        <v>80</v>
      </c>
      <c r="G646">
        <v>880</v>
      </c>
      <c r="H646">
        <v>0.01</v>
      </c>
      <c r="I646">
        <v>8.8000000000000007</v>
      </c>
      <c r="J646" t="s">
        <v>32</v>
      </c>
    </row>
    <row r="647" spans="1:10" x14ac:dyDescent="0.3">
      <c r="A647" t="s">
        <v>677</v>
      </c>
      <c r="B647" s="1">
        <v>43310</v>
      </c>
      <c r="C647" t="s">
        <v>11</v>
      </c>
      <c r="D647" t="s">
        <v>31</v>
      </c>
      <c r="E647">
        <v>17</v>
      </c>
      <c r="F647">
        <v>80</v>
      </c>
      <c r="G647">
        <v>1360</v>
      </c>
      <c r="H647">
        <v>7.0000000000000007E-2</v>
      </c>
      <c r="I647">
        <v>95.2</v>
      </c>
      <c r="J647" t="s">
        <v>35</v>
      </c>
    </row>
    <row r="648" spans="1:10" x14ac:dyDescent="0.3">
      <c r="A648" t="s">
        <v>678</v>
      </c>
      <c r="B648" s="1">
        <v>43310</v>
      </c>
      <c r="C648" t="s">
        <v>34</v>
      </c>
      <c r="D648" t="s">
        <v>31</v>
      </c>
      <c r="E648">
        <v>15</v>
      </c>
      <c r="F648">
        <v>150</v>
      </c>
      <c r="G648">
        <v>2250</v>
      </c>
      <c r="H648">
        <v>7.0000000000000007E-2</v>
      </c>
      <c r="I648">
        <v>157.5</v>
      </c>
      <c r="J648" t="s">
        <v>37</v>
      </c>
    </row>
    <row r="649" spans="1:10" x14ac:dyDescent="0.3">
      <c r="A649" t="s">
        <v>679</v>
      </c>
      <c r="B649" s="1">
        <v>43310</v>
      </c>
      <c r="C649" t="s">
        <v>30</v>
      </c>
      <c r="D649" t="s">
        <v>31</v>
      </c>
      <c r="E649">
        <v>14</v>
      </c>
      <c r="F649">
        <v>16</v>
      </c>
      <c r="G649">
        <v>224</v>
      </c>
      <c r="H649">
        <v>0.06</v>
      </c>
      <c r="I649">
        <v>13.44</v>
      </c>
      <c r="J649" t="s">
        <v>39</v>
      </c>
    </row>
    <row r="650" spans="1:10" x14ac:dyDescent="0.3">
      <c r="A650" t="s">
        <v>680</v>
      </c>
      <c r="B650" s="1">
        <v>43310</v>
      </c>
      <c r="C650" t="s">
        <v>30</v>
      </c>
      <c r="D650" t="s">
        <v>16</v>
      </c>
      <c r="E650">
        <v>4</v>
      </c>
      <c r="F650">
        <v>16</v>
      </c>
      <c r="G650">
        <v>64</v>
      </c>
      <c r="H650">
        <v>7.0000000000000007E-2</v>
      </c>
      <c r="I650">
        <v>4.4800000000000004</v>
      </c>
      <c r="J650" t="s">
        <v>32</v>
      </c>
    </row>
    <row r="651" spans="1:10" x14ac:dyDescent="0.3">
      <c r="A651" t="s">
        <v>681</v>
      </c>
      <c r="B651" s="1">
        <v>43310</v>
      </c>
      <c r="C651" t="s">
        <v>34</v>
      </c>
      <c r="D651" t="s">
        <v>31</v>
      </c>
      <c r="E651">
        <v>23</v>
      </c>
      <c r="F651">
        <v>150</v>
      </c>
      <c r="G651">
        <v>3450</v>
      </c>
      <c r="H651">
        <v>0.08</v>
      </c>
      <c r="I651">
        <v>276</v>
      </c>
      <c r="J651" t="s">
        <v>35</v>
      </c>
    </row>
    <row r="652" spans="1:10" x14ac:dyDescent="0.3">
      <c r="A652" t="s">
        <v>682</v>
      </c>
      <c r="B652" s="1">
        <v>43310</v>
      </c>
      <c r="C652" t="s">
        <v>11</v>
      </c>
      <c r="D652" t="s">
        <v>24</v>
      </c>
      <c r="E652">
        <v>10</v>
      </c>
      <c r="F652">
        <v>80</v>
      </c>
      <c r="G652">
        <v>800</v>
      </c>
      <c r="H652">
        <v>0.11</v>
      </c>
      <c r="I652">
        <v>88</v>
      </c>
      <c r="J652" t="s">
        <v>37</v>
      </c>
    </row>
    <row r="653" spans="1:10" x14ac:dyDescent="0.3">
      <c r="A653" t="s">
        <v>683</v>
      </c>
      <c r="B653" s="1">
        <v>43310</v>
      </c>
      <c r="C653" t="s">
        <v>19</v>
      </c>
      <c r="D653" t="s">
        <v>24</v>
      </c>
      <c r="E653">
        <v>7</v>
      </c>
      <c r="F653">
        <v>230</v>
      </c>
      <c r="G653">
        <v>1610</v>
      </c>
      <c r="H653">
        <v>0.01</v>
      </c>
      <c r="I653">
        <v>16.100000000000001</v>
      </c>
      <c r="J653" t="s">
        <v>39</v>
      </c>
    </row>
    <row r="654" spans="1:10" x14ac:dyDescent="0.3">
      <c r="A654" t="s">
        <v>684</v>
      </c>
      <c r="B654" s="1">
        <v>43310</v>
      </c>
      <c r="C654" t="s">
        <v>19</v>
      </c>
      <c r="D654" t="s">
        <v>12</v>
      </c>
      <c r="E654">
        <v>16</v>
      </c>
      <c r="F654">
        <v>230</v>
      </c>
      <c r="G654">
        <v>3680</v>
      </c>
      <c r="H654">
        <v>7.0000000000000007E-2</v>
      </c>
      <c r="I654">
        <v>257.60000000000002</v>
      </c>
      <c r="J654" t="s">
        <v>32</v>
      </c>
    </row>
    <row r="655" spans="1:10" x14ac:dyDescent="0.3">
      <c r="A655" t="s">
        <v>685</v>
      </c>
      <c r="B655" s="1">
        <v>43310</v>
      </c>
      <c r="C655" t="s">
        <v>30</v>
      </c>
      <c r="D655" t="s">
        <v>31</v>
      </c>
      <c r="E655">
        <v>17</v>
      </c>
      <c r="F655">
        <v>16</v>
      </c>
      <c r="G655">
        <v>272</v>
      </c>
      <c r="H655">
        <v>0.08</v>
      </c>
      <c r="I655">
        <v>21.76</v>
      </c>
      <c r="J655" t="s">
        <v>35</v>
      </c>
    </row>
    <row r="656" spans="1:10" x14ac:dyDescent="0.3">
      <c r="A656" t="s">
        <v>686</v>
      </c>
      <c r="B656" s="1">
        <v>43311</v>
      </c>
      <c r="C656" t="s">
        <v>11</v>
      </c>
      <c r="D656" t="s">
        <v>31</v>
      </c>
      <c r="E656">
        <v>6</v>
      </c>
      <c r="F656">
        <v>80</v>
      </c>
      <c r="G656">
        <v>480</v>
      </c>
      <c r="H656">
        <v>0.09</v>
      </c>
      <c r="I656">
        <v>43.2</v>
      </c>
      <c r="J656" t="s">
        <v>37</v>
      </c>
    </row>
    <row r="657" spans="1:10" x14ac:dyDescent="0.3">
      <c r="A657" t="s">
        <v>687</v>
      </c>
      <c r="B657" s="1">
        <v>43311</v>
      </c>
      <c r="C657" t="s">
        <v>34</v>
      </c>
      <c r="D657" t="s">
        <v>24</v>
      </c>
      <c r="E657">
        <v>22</v>
      </c>
      <c r="F657">
        <v>150</v>
      </c>
      <c r="G657">
        <v>3300</v>
      </c>
      <c r="H657">
        <v>0.04</v>
      </c>
      <c r="I657">
        <v>132</v>
      </c>
      <c r="J657" t="s">
        <v>39</v>
      </c>
    </row>
    <row r="658" spans="1:10" x14ac:dyDescent="0.3">
      <c r="A658" t="s">
        <v>688</v>
      </c>
      <c r="B658" s="1">
        <v>43311</v>
      </c>
      <c r="C658" t="s">
        <v>15</v>
      </c>
      <c r="D658" t="s">
        <v>31</v>
      </c>
      <c r="E658">
        <v>20</v>
      </c>
      <c r="F658">
        <v>40</v>
      </c>
      <c r="G658">
        <v>800</v>
      </c>
      <c r="H658">
        <v>0.03</v>
      </c>
      <c r="I658">
        <v>24</v>
      </c>
      <c r="J658" t="s">
        <v>32</v>
      </c>
    </row>
    <row r="659" spans="1:10" x14ac:dyDescent="0.3">
      <c r="A659" t="s">
        <v>689</v>
      </c>
      <c r="B659" s="1">
        <v>43311</v>
      </c>
      <c r="C659" t="s">
        <v>34</v>
      </c>
      <c r="D659" t="s">
        <v>16</v>
      </c>
      <c r="E659">
        <v>16</v>
      </c>
      <c r="F659">
        <v>150</v>
      </c>
      <c r="G659">
        <v>2400</v>
      </c>
      <c r="H659">
        <v>0.08</v>
      </c>
      <c r="I659">
        <v>192</v>
      </c>
      <c r="J659" t="s">
        <v>35</v>
      </c>
    </row>
    <row r="660" spans="1:10" x14ac:dyDescent="0.3">
      <c r="A660" t="s">
        <v>690</v>
      </c>
      <c r="B660" s="1">
        <v>43311</v>
      </c>
      <c r="C660" t="s">
        <v>11</v>
      </c>
      <c r="D660" t="s">
        <v>16</v>
      </c>
      <c r="E660">
        <v>5</v>
      </c>
      <c r="F660">
        <v>80</v>
      </c>
      <c r="G660">
        <v>400</v>
      </c>
      <c r="H660">
        <v>7.0000000000000007E-2</v>
      </c>
      <c r="I660">
        <v>28</v>
      </c>
      <c r="J660" t="s">
        <v>37</v>
      </c>
    </row>
    <row r="661" spans="1:10" x14ac:dyDescent="0.3">
      <c r="A661" t="s">
        <v>691</v>
      </c>
      <c r="B661" s="1">
        <v>43311</v>
      </c>
      <c r="C661" t="s">
        <v>34</v>
      </c>
      <c r="D661" t="s">
        <v>27</v>
      </c>
      <c r="E661">
        <v>6</v>
      </c>
      <c r="F661">
        <v>150</v>
      </c>
      <c r="G661">
        <v>900</v>
      </c>
      <c r="H661">
        <v>0.03</v>
      </c>
      <c r="I661">
        <v>27</v>
      </c>
      <c r="J661" t="s">
        <v>39</v>
      </c>
    </row>
    <row r="662" spans="1:10" x14ac:dyDescent="0.3">
      <c r="A662" t="s">
        <v>692</v>
      </c>
      <c r="B662" s="1">
        <v>43312</v>
      </c>
      <c r="C662" t="s">
        <v>11</v>
      </c>
      <c r="D662" t="s">
        <v>16</v>
      </c>
      <c r="E662">
        <v>9</v>
      </c>
      <c r="F662">
        <v>80</v>
      </c>
      <c r="G662">
        <v>720</v>
      </c>
      <c r="H662">
        <v>0.03</v>
      </c>
      <c r="I662">
        <v>21.6</v>
      </c>
      <c r="J662" t="s">
        <v>32</v>
      </c>
    </row>
    <row r="663" spans="1:10" x14ac:dyDescent="0.3">
      <c r="A663" t="s">
        <v>693</v>
      </c>
      <c r="B663" s="1">
        <v>43312</v>
      </c>
      <c r="C663" t="s">
        <v>11</v>
      </c>
      <c r="D663" t="s">
        <v>12</v>
      </c>
      <c r="E663">
        <v>8</v>
      </c>
      <c r="F663">
        <v>80</v>
      </c>
      <c r="G663">
        <v>640</v>
      </c>
      <c r="H663">
        <v>0.08</v>
      </c>
      <c r="I663">
        <v>51.2</v>
      </c>
      <c r="J663" t="s">
        <v>35</v>
      </c>
    </row>
    <row r="664" spans="1:10" x14ac:dyDescent="0.3">
      <c r="A664" t="s">
        <v>694</v>
      </c>
      <c r="B664" s="1">
        <v>43312</v>
      </c>
      <c r="C664" t="s">
        <v>19</v>
      </c>
      <c r="D664" t="s">
        <v>27</v>
      </c>
      <c r="E664">
        <v>8</v>
      </c>
      <c r="F664">
        <v>230</v>
      </c>
      <c r="G664">
        <v>1840</v>
      </c>
      <c r="H664">
        <v>0.01</v>
      </c>
      <c r="I664">
        <v>18.399999999999999</v>
      </c>
      <c r="J664" t="s">
        <v>37</v>
      </c>
    </row>
    <row r="665" spans="1:10" x14ac:dyDescent="0.3">
      <c r="A665" t="s">
        <v>695</v>
      </c>
      <c r="B665" s="1">
        <v>43312</v>
      </c>
      <c r="C665" t="s">
        <v>30</v>
      </c>
      <c r="D665" t="s">
        <v>31</v>
      </c>
      <c r="E665">
        <v>12</v>
      </c>
      <c r="F665">
        <v>16</v>
      </c>
      <c r="G665">
        <v>192</v>
      </c>
      <c r="H665">
        <v>0.04</v>
      </c>
      <c r="I665">
        <v>7.68</v>
      </c>
      <c r="J665" t="s">
        <v>39</v>
      </c>
    </row>
    <row r="666" spans="1:10" x14ac:dyDescent="0.3">
      <c r="A666" t="s">
        <v>696</v>
      </c>
      <c r="B666" s="1">
        <v>43312</v>
      </c>
      <c r="C666" t="s">
        <v>30</v>
      </c>
      <c r="D666" t="s">
        <v>27</v>
      </c>
      <c r="E666">
        <v>18</v>
      </c>
      <c r="F666">
        <v>16</v>
      </c>
      <c r="G666">
        <v>288</v>
      </c>
      <c r="H666">
        <v>0.04</v>
      </c>
      <c r="I666">
        <v>11.52</v>
      </c>
      <c r="J666" t="s">
        <v>32</v>
      </c>
    </row>
    <row r="667" spans="1:10" x14ac:dyDescent="0.3">
      <c r="A667" t="s">
        <v>697</v>
      </c>
      <c r="B667" s="1">
        <v>43282</v>
      </c>
      <c r="C667" t="s">
        <v>30</v>
      </c>
      <c r="D667" t="s">
        <v>27</v>
      </c>
      <c r="E667">
        <v>10</v>
      </c>
      <c r="F667">
        <v>16</v>
      </c>
      <c r="G667">
        <v>160</v>
      </c>
      <c r="H667">
        <v>0.01</v>
      </c>
      <c r="I667">
        <v>1.6</v>
      </c>
      <c r="J667" t="s">
        <v>35</v>
      </c>
    </row>
    <row r="668" spans="1:10" x14ac:dyDescent="0.3">
      <c r="A668" t="s">
        <v>698</v>
      </c>
      <c r="B668" s="1">
        <v>43282</v>
      </c>
      <c r="C668" t="s">
        <v>30</v>
      </c>
      <c r="D668" t="s">
        <v>27</v>
      </c>
      <c r="E668">
        <v>14</v>
      </c>
      <c r="F668">
        <v>16</v>
      </c>
      <c r="G668">
        <v>224</v>
      </c>
      <c r="H668">
        <v>0.12</v>
      </c>
      <c r="I668">
        <v>26.88</v>
      </c>
      <c r="J668" t="s">
        <v>37</v>
      </c>
    </row>
    <row r="669" spans="1:10" x14ac:dyDescent="0.3">
      <c r="A669" t="s">
        <v>699</v>
      </c>
      <c r="B669" s="1">
        <v>43282</v>
      </c>
      <c r="C669" t="s">
        <v>15</v>
      </c>
      <c r="D669" t="s">
        <v>24</v>
      </c>
      <c r="E669">
        <v>6</v>
      </c>
      <c r="F669">
        <v>40</v>
      </c>
      <c r="G669">
        <v>240</v>
      </c>
      <c r="H669">
        <v>0.06</v>
      </c>
      <c r="I669">
        <v>14.4</v>
      </c>
      <c r="J669" t="s">
        <v>39</v>
      </c>
    </row>
    <row r="670" spans="1:10" x14ac:dyDescent="0.3">
      <c r="A670" t="s">
        <v>700</v>
      </c>
      <c r="B670" s="1">
        <v>43282</v>
      </c>
      <c r="C670" t="s">
        <v>15</v>
      </c>
      <c r="D670" t="s">
        <v>27</v>
      </c>
      <c r="E670">
        <v>13</v>
      </c>
      <c r="F670">
        <v>40</v>
      </c>
      <c r="G670">
        <v>520</v>
      </c>
      <c r="H670">
        <v>0.09</v>
      </c>
      <c r="I670">
        <v>46.8</v>
      </c>
      <c r="J670" t="s">
        <v>32</v>
      </c>
    </row>
    <row r="671" spans="1:10" x14ac:dyDescent="0.3">
      <c r="A671" t="s">
        <v>701</v>
      </c>
      <c r="B671" s="1">
        <v>43282</v>
      </c>
      <c r="C671" t="s">
        <v>30</v>
      </c>
      <c r="D671" t="s">
        <v>27</v>
      </c>
      <c r="E671">
        <v>10</v>
      </c>
      <c r="F671">
        <v>16</v>
      </c>
      <c r="G671">
        <v>160</v>
      </c>
      <c r="H671">
        <v>0.04</v>
      </c>
      <c r="I671">
        <v>6.4</v>
      </c>
      <c r="J671" t="s">
        <v>35</v>
      </c>
    </row>
    <row r="672" spans="1:10" x14ac:dyDescent="0.3">
      <c r="A672" t="s">
        <v>702</v>
      </c>
      <c r="B672" s="1">
        <v>43282</v>
      </c>
      <c r="C672" t="s">
        <v>11</v>
      </c>
      <c r="D672" t="s">
        <v>16</v>
      </c>
      <c r="E672">
        <v>14</v>
      </c>
      <c r="F672">
        <v>80</v>
      </c>
      <c r="G672">
        <v>1120</v>
      </c>
      <c r="H672">
        <v>0.11</v>
      </c>
      <c r="I672">
        <v>123.2</v>
      </c>
      <c r="J672" t="s">
        <v>37</v>
      </c>
    </row>
    <row r="673" spans="1:10" x14ac:dyDescent="0.3">
      <c r="A673" t="s">
        <v>703</v>
      </c>
      <c r="B673" s="1">
        <v>43282</v>
      </c>
      <c r="C673" t="s">
        <v>15</v>
      </c>
      <c r="D673" t="s">
        <v>16</v>
      </c>
      <c r="E673">
        <v>4</v>
      </c>
      <c r="F673">
        <v>40</v>
      </c>
      <c r="G673">
        <v>160</v>
      </c>
      <c r="H673">
        <v>0.06</v>
      </c>
      <c r="I673">
        <v>9.6</v>
      </c>
      <c r="J673" t="s">
        <v>39</v>
      </c>
    </row>
    <row r="674" spans="1:10" x14ac:dyDescent="0.3">
      <c r="A674" t="s">
        <v>704</v>
      </c>
      <c r="B674" s="1">
        <v>43282</v>
      </c>
      <c r="C674" t="s">
        <v>15</v>
      </c>
      <c r="D674" t="s">
        <v>24</v>
      </c>
      <c r="E674">
        <v>11</v>
      </c>
      <c r="F674">
        <v>40</v>
      </c>
      <c r="G674">
        <v>440</v>
      </c>
      <c r="H674">
        <v>0.05</v>
      </c>
      <c r="I674">
        <v>22</v>
      </c>
      <c r="J674" t="s">
        <v>32</v>
      </c>
    </row>
    <row r="675" spans="1:10" x14ac:dyDescent="0.3">
      <c r="A675" t="s">
        <v>705</v>
      </c>
      <c r="B675" s="1">
        <v>43282</v>
      </c>
      <c r="C675" t="s">
        <v>30</v>
      </c>
      <c r="D675" t="s">
        <v>24</v>
      </c>
      <c r="E675">
        <v>14</v>
      </c>
      <c r="F675">
        <v>16</v>
      </c>
      <c r="G675">
        <v>224</v>
      </c>
      <c r="H675">
        <v>0.01</v>
      </c>
      <c r="I675">
        <v>2.2400000000000002</v>
      </c>
      <c r="J675" t="s">
        <v>35</v>
      </c>
    </row>
    <row r="676" spans="1:10" x14ac:dyDescent="0.3">
      <c r="A676" t="s">
        <v>706</v>
      </c>
      <c r="B676" s="1">
        <v>43282</v>
      </c>
      <c r="C676" t="s">
        <v>34</v>
      </c>
      <c r="D676" t="s">
        <v>12</v>
      </c>
      <c r="E676">
        <v>20</v>
      </c>
      <c r="F676">
        <v>150</v>
      </c>
      <c r="G676">
        <v>3000</v>
      </c>
      <c r="H676">
        <v>0.04</v>
      </c>
      <c r="I676">
        <v>120</v>
      </c>
      <c r="J676" t="s">
        <v>37</v>
      </c>
    </row>
    <row r="677" spans="1:10" x14ac:dyDescent="0.3">
      <c r="A677" t="s">
        <v>707</v>
      </c>
      <c r="B677" s="1">
        <v>43282</v>
      </c>
      <c r="C677" t="s">
        <v>15</v>
      </c>
      <c r="D677" t="s">
        <v>27</v>
      </c>
      <c r="E677">
        <v>9</v>
      </c>
      <c r="F677">
        <v>40</v>
      </c>
      <c r="G677">
        <v>360</v>
      </c>
      <c r="H677">
        <v>0.06</v>
      </c>
      <c r="I677">
        <v>21.6</v>
      </c>
      <c r="J677" t="s">
        <v>39</v>
      </c>
    </row>
    <row r="678" spans="1:10" x14ac:dyDescent="0.3">
      <c r="A678" t="s">
        <v>708</v>
      </c>
      <c r="B678" s="1">
        <v>43282</v>
      </c>
      <c r="C678" t="s">
        <v>34</v>
      </c>
      <c r="D678" t="s">
        <v>24</v>
      </c>
      <c r="E678">
        <v>18</v>
      </c>
      <c r="F678">
        <v>150</v>
      </c>
      <c r="G678">
        <v>2700</v>
      </c>
      <c r="H678">
        <v>0.06</v>
      </c>
      <c r="I678">
        <v>162</v>
      </c>
      <c r="J678" t="s">
        <v>32</v>
      </c>
    </row>
    <row r="679" spans="1:10" x14ac:dyDescent="0.3">
      <c r="A679" t="s">
        <v>709</v>
      </c>
      <c r="B679" s="1">
        <v>43282</v>
      </c>
      <c r="C679" t="s">
        <v>19</v>
      </c>
      <c r="D679" t="s">
        <v>31</v>
      </c>
      <c r="E679">
        <v>17</v>
      </c>
      <c r="F679">
        <v>230</v>
      </c>
      <c r="G679">
        <v>3910</v>
      </c>
      <c r="H679">
        <v>0.11</v>
      </c>
      <c r="I679">
        <v>430.1</v>
      </c>
      <c r="J679" t="s">
        <v>35</v>
      </c>
    </row>
    <row r="680" spans="1:10" x14ac:dyDescent="0.3">
      <c r="A680" t="s">
        <v>710</v>
      </c>
      <c r="B680" s="1">
        <v>43283</v>
      </c>
      <c r="C680" t="s">
        <v>15</v>
      </c>
      <c r="D680" t="s">
        <v>12</v>
      </c>
      <c r="E680">
        <v>20</v>
      </c>
      <c r="F680">
        <v>40</v>
      </c>
      <c r="G680">
        <v>800</v>
      </c>
      <c r="H680">
        <v>0.04</v>
      </c>
      <c r="I680">
        <v>32</v>
      </c>
      <c r="J680" t="s">
        <v>37</v>
      </c>
    </row>
    <row r="681" spans="1:10" x14ac:dyDescent="0.3">
      <c r="A681" t="s">
        <v>711</v>
      </c>
      <c r="B681" s="1">
        <v>43283</v>
      </c>
      <c r="C681" t="s">
        <v>15</v>
      </c>
      <c r="D681" t="s">
        <v>12</v>
      </c>
      <c r="E681">
        <v>23</v>
      </c>
      <c r="F681">
        <v>40</v>
      </c>
      <c r="G681">
        <v>920</v>
      </c>
      <c r="H681">
        <v>0.03</v>
      </c>
      <c r="I681">
        <v>27.6</v>
      </c>
      <c r="J681" t="s">
        <v>39</v>
      </c>
    </row>
    <row r="682" spans="1:10" x14ac:dyDescent="0.3">
      <c r="A682" t="s">
        <v>712</v>
      </c>
      <c r="B682" s="1">
        <v>43283</v>
      </c>
      <c r="C682" t="s">
        <v>19</v>
      </c>
      <c r="D682" t="s">
        <v>31</v>
      </c>
      <c r="E682">
        <v>21</v>
      </c>
      <c r="F682">
        <v>230</v>
      </c>
      <c r="G682">
        <v>4830</v>
      </c>
      <c r="H682">
        <v>0.05</v>
      </c>
      <c r="I682">
        <v>241.5</v>
      </c>
      <c r="J682" t="s">
        <v>32</v>
      </c>
    </row>
    <row r="683" spans="1:10" x14ac:dyDescent="0.3">
      <c r="A683" t="s">
        <v>713</v>
      </c>
      <c r="B683" s="1">
        <v>43283</v>
      </c>
      <c r="C683" t="s">
        <v>11</v>
      </c>
      <c r="D683" t="s">
        <v>24</v>
      </c>
      <c r="E683">
        <v>6</v>
      </c>
      <c r="F683">
        <v>80</v>
      </c>
      <c r="G683">
        <v>480</v>
      </c>
      <c r="H683">
        <v>0.09</v>
      </c>
      <c r="I683">
        <v>43.2</v>
      </c>
      <c r="J683" t="s">
        <v>35</v>
      </c>
    </row>
    <row r="684" spans="1:10" x14ac:dyDescent="0.3">
      <c r="A684" t="s">
        <v>714</v>
      </c>
      <c r="B684" s="1">
        <v>43283</v>
      </c>
      <c r="C684" t="s">
        <v>30</v>
      </c>
      <c r="D684" t="s">
        <v>12</v>
      </c>
      <c r="E684">
        <v>20</v>
      </c>
      <c r="F684">
        <v>16</v>
      </c>
      <c r="G684">
        <v>320</v>
      </c>
      <c r="H684">
        <v>0.01</v>
      </c>
      <c r="I684">
        <v>3.2</v>
      </c>
      <c r="J684" t="s">
        <v>37</v>
      </c>
    </row>
    <row r="685" spans="1:10" x14ac:dyDescent="0.3">
      <c r="A685" t="s">
        <v>715</v>
      </c>
      <c r="B685" s="1">
        <v>43283</v>
      </c>
      <c r="C685" t="s">
        <v>15</v>
      </c>
      <c r="D685" t="s">
        <v>16</v>
      </c>
      <c r="E685">
        <v>8</v>
      </c>
      <c r="F685">
        <v>40</v>
      </c>
      <c r="G685">
        <v>320</v>
      </c>
      <c r="H685">
        <v>0.09</v>
      </c>
      <c r="I685">
        <v>28.8</v>
      </c>
      <c r="J685" t="s">
        <v>39</v>
      </c>
    </row>
    <row r="686" spans="1:10" x14ac:dyDescent="0.3">
      <c r="A686" t="s">
        <v>716</v>
      </c>
      <c r="B686" s="1">
        <v>43283</v>
      </c>
      <c r="C686" t="s">
        <v>19</v>
      </c>
      <c r="D686" t="s">
        <v>16</v>
      </c>
      <c r="E686">
        <v>15</v>
      </c>
      <c r="F686">
        <v>230</v>
      </c>
      <c r="G686">
        <v>3450</v>
      </c>
      <c r="H686">
        <v>0.09</v>
      </c>
      <c r="I686">
        <v>310.5</v>
      </c>
      <c r="J686" t="s">
        <v>32</v>
      </c>
    </row>
    <row r="687" spans="1:10" x14ac:dyDescent="0.3">
      <c r="A687" t="s">
        <v>717</v>
      </c>
      <c r="B687" s="1">
        <v>43284</v>
      </c>
      <c r="C687" t="s">
        <v>11</v>
      </c>
      <c r="D687" t="s">
        <v>27</v>
      </c>
      <c r="E687">
        <v>21</v>
      </c>
      <c r="F687">
        <v>80</v>
      </c>
      <c r="G687">
        <v>1680</v>
      </c>
      <c r="H687">
        <v>0.02</v>
      </c>
      <c r="I687">
        <v>33.6</v>
      </c>
      <c r="J687" t="s">
        <v>35</v>
      </c>
    </row>
    <row r="688" spans="1:10" x14ac:dyDescent="0.3">
      <c r="A688" t="s">
        <v>718</v>
      </c>
      <c r="B688" s="1">
        <v>43284</v>
      </c>
      <c r="C688" t="s">
        <v>11</v>
      </c>
      <c r="D688" t="s">
        <v>27</v>
      </c>
      <c r="E688">
        <v>19</v>
      </c>
      <c r="F688">
        <v>80</v>
      </c>
      <c r="G688">
        <v>1520</v>
      </c>
      <c r="H688">
        <v>0.02</v>
      </c>
      <c r="I688">
        <v>30.4</v>
      </c>
      <c r="J688" t="s">
        <v>37</v>
      </c>
    </row>
    <row r="689" spans="1:10" x14ac:dyDescent="0.3">
      <c r="A689" t="s">
        <v>719</v>
      </c>
      <c r="B689" s="1">
        <v>43284</v>
      </c>
      <c r="C689" t="s">
        <v>30</v>
      </c>
      <c r="D689" t="s">
        <v>12</v>
      </c>
      <c r="E689">
        <v>7</v>
      </c>
      <c r="F689">
        <v>16</v>
      </c>
      <c r="G689">
        <v>112</v>
      </c>
      <c r="H689">
        <v>0.08</v>
      </c>
      <c r="I689">
        <v>8.9600000000000009</v>
      </c>
      <c r="J689" t="s">
        <v>39</v>
      </c>
    </row>
    <row r="690" spans="1:10" x14ac:dyDescent="0.3">
      <c r="A690" t="s">
        <v>720</v>
      </c>
      <c r="B690" s="1">
        <v>43284</v>
      </c>
      <c r="C690" t="s">
        <v>15</v>
      </c>
      <c r="D690" t="s">
        <v>31</v>
      </c>
      <c r="E690">
        <v>11</v>
      </c>
      <c r="F690">
        <v>40</v>
      </c>
      <c r="G690">
        <v>440</v>
      </c>
      <c r="H690">
        <v>0.05</v>
      </c>
      <c r="I690">
        <v>22</v>
      </c>
      <c r="J690" t="s">
        <v>32</v>
      </c>
    </row>
    <row r="691" spans="1:10" x14ac:dyDescent="0.3">
      <c r="A691" t="s">
        <v>721</v>
      </c>
      <c r="B691" s="1">
        <v>43284</v>
      </c>
      <c r="C691" t="s">
        <v>19</v>
      </c>
      <c r="D691" t="s">
        <v>27</v>
      </c>
      <c r="E691">
        <v>8</v>
      </c>
      <c r="F691">
        <v>230</v>
      </c>
      <c r="G691">
        <v>1840</v>
      </c>
      <c r="H691">
        <v>0.05</v>
      </c>
      <c r="I691">
        <v>92</v>
      </c>
      <c r="J691" t="s">
        <v>35</v>
      </c>
    </row>
    <row r="692" spans="1:10" x14ac:dyDescent="0.3">
      <c r="A692" t="s">
        <v>722</v>
      </c>
      <c r="B692" s="1">
        <v>43284</v>
      </c>
      <c r="C692" t="s">
        <v>11</v>
      </c>
      <c r="D692" t="s">
        <v>12</v>
      </c>
      <c r="E692">
        <v>18</v>
      </c>
      <c r="F692">
        <v>80</v>
      </c>
      <c r="G692">
        <v>1440</v>
      </c>
      <c r="H692">
        <v>0.02</v>
      </c>
      <c r="I692">
        <v>28.8</v>
      </c>
      <c r="J692" t="s">
        <v>37</v>
      </c>
    </row>
    <row r="693" spans="1:10" x14ac:dyDescent="0.3">
      <c r="A693" t="s">
        <v>723</v>
      </c>
      <c r="B693" s="1">
        <v>43284</v>
      </c>
      <c r="C693" t="s">
        <v>15</v>
      </c>
      <c r="D693" t="s">
        <v>12</v>
      </c>
      <c r="E693">
        <v>7</v>
      </c>
      <c r="F693">
        <v>40</v>
      </c>
      <c r="G693">
        <v>280</v>
      </c>
      <c r="H693">
        <v>0.1</v>
      </c>
      <c r="I693">
        <v>28</v>
      </c>
      <c r="J693" t="s">
        <v>39</v>
      </c>
    </row>
    <row r="694" spans="1:10" x14ac:dyDescent="0.3">
      <c r="A694" t="s">
        <v>724</v>
      </c>
      <c r="B694" s="1">
        <v>43285</v>
      </c>
      <c r="C694" t="s">
        <v>30</v>
      </c>
      <c r="D694" t="s">
        <v>12</v>
      </c>
      <c r="E694">
        <v>16</v>
      </c>
      <c r="F694">
        <v>16</v>
      </c>
      <c r="G694">
        <v>256</v>
      </c>
      <c r="H694">
        <v>0.03</v>
      </c>
      <c r="I694">
        <v>7.68</v>
      </c>
      <c r="J694" t="s">
        <v>32</v>
      </c>
    </row>
    <row r="695" spans="1:10" x14ac:dyDescent="0.3">
      <c r="A695" t="s">
        <v>725</v>
      </c>
      <c r="B695" s="1">
        <v>43285</v>
      </c>
      <c r="C695" t="s">
        <v>11</v>
      </c>
      <c r="D695" t="s">
        <v>12</v>
      </c>
      <c r="E695">
        <v>8</v>
      </c>
      <c r="F695">
        <v>80</v>
      </c>
      <c r="G695">
        <v>640</v>
      </c>
      <c r="H695">
        <v>0.08</v>
      </c>
      <c r="I695">
        <v>51.2</v>
      </c>
      <c r="J695" t="s">
        <v>35</v>
      </c>
    </row>
    <row r="696" spans="1:10" x14ac:dyDescent="0.3">
      <c r="A696" t="s">
        <v>726</v>
      </c>
      <c r="B696" s="1">
        <v>43285</v>
      </c>
      <c r="C696" t="s">
        <v>19</v>
      </c>
      <c r="D696" t="s">
        <v>31</v>
      </c>
      <c r="E696">
        <v>22</v>
      </c>
      <c r="F696">
        <v>230</v>
      </c>
      <c r="G696">
        <v>5060</v>
      </c>
      <c r="H696">
        <v>0.1</v>
      </c>
      <c r="I696">
        <v>506</v>
      </c>
      <c r="J696" t="s">
        <v>37</v>
      </c>
    </row>
    <row r="697" spans="1:10" x14ac:dyDescent="0.3">
      <c r="A697" t="s">
        <v>727</v>
      </c>
      <c r="B697" s="1">
        <v>43285</v>
      </c>
      <c r="C697" t="s">
        <v>19</v>
      </c>
      <c r="D697" t="s">
        <v>31</v>
      </c>
      <c r="E697">
        <v>3</v>
      </c>
      <c r="F697">
        <v>230</v>
      </c>
      <c r="G697">
        <v>690</v>
      </c>
      <c r="H697">
        <v>0.1</v>
      </c>
      <c r="I697">
        <v>69</v>
      </c>
      <c r="J697" t="s">
        <v>39</v>
      </c>
    </row>
    <row r="698" spans="1:10" x14ac:dyDescent="0.3">
      <c r="A698" t="s">
        <v>728</v>
      </c>
      <c r="B698" s="1">
        <v>43285</v>
      </c>
      <c r="C698" t="s">
        <v>19</v>
      </c>
      <c r="D698" t="s">
        <v>31</v>
      </c>
      <c r="E698">
        <v>20</v>
      </c>
      <c r="F698">
        <v>230</v>
      </c>
      <c r="G698">
        <v>4600</v>
      </c>
      <c r="H698">
        <v>0.11</v>
      </c>
      <c r="I698">
        <v>506</v>
      </c>
      <c r="J698" t="s">
        <v>32</v>
      </c>
    </row>
    <row r="699" spans="1:10" x14ac:dyDescent="0.3">
      <c r="A699" t="s">
        <v>729</v>
      </c>
      <c r="B699" s="1">
        <v>43285</v>
      </c>
      <c r="C699" t="s">
        <v>30</v>
      </c>
      <c r="D699" t="s">
        <v>24</v>
      </c>
      <c r="E699">
        <v>12</v>
      </c>
      <c r="F699">
        <v>16</v>
      </c>
      <c r="G699">
        <v>192</v>
      </c>
      <c r="H699">
        <v>0.03</v>
      </c>
      <c r="I699">
        <v>5.76</v>
      </c>
      <c r="J699" t="s">
        <v>35</v>
      </c>
    </row>
    <row r="700" spans="1:10" x14ac:dyDescent="0.3">
      <c r="A700" t="s">
        <v>730</v>
      </c>
      <c r="B700" s="1">
        <v>43285</v>
      </c>
      <c r="C700" t="s">
        <v>15</v>
      </c>
      <c r="D700" t="s">
        <v>31</v>
      </c>
      <c r="E700">
        <v>20</v>
      </c>
      <c r="F700">
        <v>40</v>
      </c>
      <c r="G700">
        <v>800</v>
      </c>
      <c r="H700">
        <v>7.0000000000000007E-2</v>
      </c>
      <c r="I700">
        <v>56</v>
      </c>
      <c r="J700" t="s">
        <v>37</v>
      </c>
    </row>
    <row r="701" spans="1:10" x14ac:dyDescent="0.3">
      <c r="A701" t="s">
        <v>731</v>
      </c>
      <c r="B701" s="1">
        <v>43285</v>
      </c>
      <c r="C701" t="s">
        <v>19</v>
      </c>
      <c r="D701" t="s">
        <v>12</v>
      </c>
      <c r="E701">
        <v>3</v>
      </c>
      <c r="F701">
        <v>230</v>
      </c>
      <c r="G701">
        <v>690</v>
      </c>
      <c r="H701">
        <v>0.06</v>
      </c>
      <c r="I701">
        <v>41.4</v>
      </c>
      <c r="J701" t="s">
        <v>39</v>
      </c>
    </row>
    <row r="702" spans="1:10" x14ac:dyDescent="0.3">
      <c r="A702" t="s">
        <v>732</v>
      </c>
      <c r="B702" s="1">
        <v>43285</v>
      </c>
      <c r="C702" t="s">
        <v>11</v>
      </c>
      <c r="D702" t="s">
        <v>27</v>
      </c>
      <c r="E702">
        <v>16</v>
      </c>
      <c r="F702">
        <v>80</v>
      </c>
      <c r="G702">
        <v>1280</v>
      </c>
      <c r="H702">
        <v>7.0000000000000007E-2</v>
      </c>
      <c r="I702">
        <v>89.6</v>
      </c>
      <c r="J702" t="s">
        <v>32</v>
      </c>
    </row>
    <row r="703" spans="1:10" x14ac:dyDescent="0.3">
      <c r="A703" t="s">
        <v>733</v>
      </c>
      <c r="B703" s="1">
        <v>43286</v>
      </c>
      <c r="C703" t="s">
        <v>15</v>
      </c>
      <c r="D703" t="s">
        <v>31</v>
      </c>
      <c r="E703">
        <v>3</v>
      </c>
      <c r="F703">
        <v>40</v>
      </c>
      <c r="G703">
        <v>120</v>
      </c>
      <c r="H703">
        <v>0.03</v>
      </c>
      <c r="I703">
        <v>3.6</v>
      </c>
      <c r="J703" t="s">
        <v>35</v>
      </c>
    </row>
    <row r="704" spans="1:10" x14ac:dyDescent="0.3">
      <c r="A704" t="s">
        <v>734</v>
      </c>
      <c r="B704" s="1">
        <v>43286</v>
      </c>
      <c r="C704" t="s">
        <v>19</v>
      </c>
      <c r="D704" t="s">
        <v>24</v>
      </c>
      <c r="E704">
        <v>12</v>
      </c>
      <c r="F704">
        <v>230</v>
      </c>
      <c r="G704">
        <v>2760</v>
      </c>
      <c r="H704">
        <v>0.03</v>
      </c>
      <c r="I704">
        <v>82.8</v>
      </c>
      <c r="J704" t="s">
        <v>37</v>
      </c>
    </row>
    <row r="705" spans="1:10" x14ac:dyDescent="0.3">
      <c r="A705" t="s">
        <v>735</v>
      </c>
      <c r="B705" s="1">
        <v>43286</v>
      </c>
      <c r="C705" t="s">
        <v>15</v>
      </c>
      <c r="D705" t="s">
        <v>27</v>
      </c>
      <c r="E705">
        <v>22</v>
      </c>
      <c r="F705">
        <v>40</v>
      </c>
      <c r="G705">
        <v>880</v>
      </c>
      <c r="H705">
        <v>0.01</v>
      </c>
      <c r="I705">
        <v>8.8000000000000007</v>
      </c>
      <c r="J705" t="s">
        <v>39</v>
      </c>
    </row>
    <row r="706" spans="1:10" x14ac:dyDescent="0.3">
      <c r="A706" t="s">
        <v>736</v>
      </c>
      <c r="B706" s="1">
        <v>43286</v>
      </c>
      <c r="C706" t="s">
        <v>15</v>
      </c>
      <c r="D706" t="s">
        <v>16</v>
      </c>
      <c r="E706">
        <v>19</v>
      </c>
      <c r="F706">
        <v>40</v>
      </c>
      <c r="G706">
        <v>760</v>
      </c>
      <c r="H706">
        <v>0.1</v>
      </c>
      <c r="I706">
        <v>76</v>
      </c>
      <c r="J706" t="s">
        <v>32</v>
      </c>
    </row>
    <row r="707" spans="1:10" x14ac:dyDescent="0.3">
      <c r="A707" t="s">
        <v>737</v>
      </c>
      <c r="B707" s="1">
        <v>43286</v>
      </c>
      <c r="C707" t="s">
        <v>11</v>
      </c>
      <c r="D707" t="s">
        <v>16</v>
      </c>
      <c r="E707">
        <v>21</v>
      </c>
      <c r="F707">
        <v>80</v>
      </c>
      <c r="G707">
        <v>1680</v>
      </c>
      <c r="H707">
        <v>0.04</v>
      </c>
      <c r="I707">
        <v>67.2</v>
      </c>
      <c r="J707" t="s">
        <v>35</v>
      </c>
    </row>
    <row r="708" spans="1:10" x14ac:dyDescent="0.3">
      <c r="A708" t="s">
        <v>738</v>
      </c>
      <c r="B708" s="1">
        <v>43286</v>
      </c>
      <c r="C708" t="s">
        <v>11</v>
      </c>
      <c r="D708" t="s">
        <v>16</v>
      </c>
      <c r="E708">
        <v>2</v>
      </c>
      <c r="F708">
        <v>80</v>
      </c>
      <c r="G708">
        <v>160</v>
      </c>
      <c r="H708">
        <v>0.04</v>
      </c>
      <c r="I708">
        <v>6.4</v>
      </c>
      <c r="J708" t="s">
        <v>37</v>
      </c>
    </row>
    <row r="709" spans="1:10" x14ac:dyDescent="0.3">
      <c r="A709" t="s">
        <v>739</v>
      </c>
      <c r="B709" s="1">
        <v>43286</v>
      </c>
      <c r="C709" t="s">
        <v>34</v>
      </c>
      <c r="D709" t="s">
        <v>16</v>
      </c>
      <c r="E709">
        <v>15</v>
      </c>
      <c r="F709">
        <v>150</v>
      </c>
      <c r="G709">
        <v>2250</v>
      </c>
      <c r="H709">
        <v>0.02</v>
      </c>
      <c r="I709">
        <v>45</v>
      </c>
      <c r="J709" t="s">
        <v>39</v>
      </c>
    </row>
    <row r="710" spans="1:10" x14ac:dyDescent="0.3">
      <c r="A710" t="s">
        <v>740</v>
      </c>
      <c r="B710" s="1">
        <v>43287</v>
      </c>
      <c r="C710" t="s">
        <v>15</v>
      </c>
      <c r="D710" t="s">
        <v>16</v>
      </c>
      <c r="E710">
        <v>14</v>
      </c>
      <c r="F710">
        <v>40</v>
      </c>
      <c r="G710">
        <v>560</v>
      </c>
      <c r="H710">
        <v>0.06</v>
      </c>
      <c r="I710">
        <v>33.6</v>
      </c>
      <c r="J710" t="s">
        <v>32</v>
      </c>
    </row>
    <row r="711" spans="1:10" x14ac:dyDescent="0.3">
      <c r="A711" t="s">
        <v>741</v>
      </c>
      <c r="B711" s="1">
        <v>43287</v>
      </c>
      <c r="C711" t="s">
        <v>11</v>
      </c>
      <c r="D711" t="s">
        <v>27</v>
      </c>
      <c r="E711">
        <v>7</v>
      </c>
      <c r="F711">
        <v>80</v>
      </c>
      <c r="G711">
        <v>560</v>
      </c>
      <c r="H711">
        <v>7.0000000000000007E-2</v>
      </c>
      <c r="I711">
        <v>39.200000000000003</v>
      </c>
      <c r="J711" t="s">
        <v>35</v>
      </c>
    </row>
    <row r="712" spans="1:10" x14ac:dyDescent="0.3">
      <c r="A712" t="s">
        <v>742</v>
      </c>
      <c r="B712" s="1">
        <v>43287</v>
      </c>
      <c r="C712" t="s">
        <v>11</v>
      </c>
      <c r="D712" t="s">
        <v>24</v>
      </c>
      <c r="E712">
        <v>7</v>
      </c>
      <c r="F712">
        <v>80</v>
      </c>
      <c r="G712">
        <v>560</v>
      </c>
      <c r="H712">
        <v>0.05</v>
      </c>
      <c r="I712">
        <v>28</v>
      </c>
      <c r="J712" t="s">
        <v>37</v>
      </c>
    </row>
    <row r="713" spans="1:10" x14ac:dyDescent="0.3">
      <c r="A713" t="s">
        <v>743</v>
      </c>
      <c r="B713" s="1">
        <v>43287</v>
      </c>
      <c r="C713" t="s">
        <v>34</v>
      </c>
      <c r="D713" t="s">
        <v>16</v>
      </c>
      <c r="E713">
        <v>10</v>
      </c>
      <c r="F713">
        <v>150</v>
      </c>
      <c r="G713">
        <v>1500</v>
      </c>
      <c r="H713">
        <v>0.01</v>
      </c>
      <c r="I713">
        <v>15</v>
      </c>
      <c r="J713" t="s">
        <v>39</v>
      </c>
    </row>
    <row r="714" spans="1:10" x14ac:dyDescent="0.3">
      <c r="A714" t="s">
        <v>744</v>
      </c>
      <c r="B714" s="1">
        <v>43287</v>
      </c>
      <c r="C714" t="s">
        <v>11</v>
      </c>
      <c r="D714" t="s">
        <v>24</v>
      </c>
      <c r="E714">
        <v>10</v>
      </c>
      <c r="F714">
        <v>80</v>
      </c>
      <c r="G714">
        <v>800</v>
      </c>
      <c r="H714">
        <v>0.08</v>
      </c>
      <c r="I714">
        <v>64</v>
      </c>
      <c r="J714" t="s">
        <v>32</v>
      </c>
    </row>
    <row r="715" spans="1:10" x14ac:dyDescent="0.3">
      <c r="A715" t="s">
        <v>745</v>
      </c>
      <c r="B715" s="1">
        <v>43287</v>
      </c>
      <c r="C715" t="s">
        <v>11</v>
      </c>
      <c r="D715" t="s">
        <v>27</v>
      </c>
      <c r="E715">
        <v>15</v>
      </c>
      <c r="F715">
        <v>80</v>
      </c>
      <c r="G715">
        <v>1200</v>
      </c>
      <c r="H715">
        <v>0.08</v>
      </c>
      <c r="I715">
        <v>96</v>
      </c>
      <c r="J715" t="s">
        <v>35</v>
      </c>
    </row>
    <row r="716" spans="1:10" x14ac:dyDescent="0.3">
      <c r="A716" t="s">
        <v>746</v>
      </c>
      <c r="B716" s="1">
        <v>43287</v>
      </c>
      <c r="C716" t="s">
        <v>19</v>
      </c>
      <c r="D716" t="s">
        <v>27</v>
      </c>
      <c r="E716">
        <v>18</v>
      </c>
      <c r="F716">
        <v>230</v>
      </c>
      <c r="G716">
        <v>4140</v>
      </c>
      <c r="H716">
        <v>0.01</v>
      </c>
      <c r="I716">
        <v>41.4</v>
      </c>
      <c r="J716" t="s">
        <v>37</v>
      </c>
    </row>
    <row r="717" spans="1:10" x14ac:dyDescent="0.3">
      <c r="A717" t="s">
        <v>747</v>
      </c>
      <c r="B717" s="1">
        <v>43287</v>
      </c>
      <c r="C717" t="s">
        <v>11</v>
      </c>
      <c r="D717" t="s">
        <v>12</v>
      </c>
      <c r="E717">
        <v>8</v>
      </c>
      <c r="F717">
        <v>80</v>
      </c>
      <c r="G717">
        <v>640</v>
      </c>
      <c r="H717">
        <v>0.09</v>
      </c>
      <c r="I717">
        <v>57.6</v>
      </c>
      <c r="J717" t="s">
        <v>39</v>
      </c>
    </row>
    <row r="718" spans="1:10" x14ac:dyDescent="0.3">
      <c r="A718" t="s">
        <v>748</v>
      </c>
      <c r="B718" s="1">
        <v>43287</v>
      </c>
      <c r="C718" t="s">
        <v>30</v>
      </c>
      <c r="D718" t="s">
        <v>24</v>
      </c>
      <c r="E718">
        <v>6</v>
      </c>
      <c r="F718">
        <v>16</v>
      </c>
      <c r="G718">
        <v>96</v>
      </c>
      <c r="H718">
        <v>0.01</v>
      </c>
      <c r="I718">
        <v>0.96</v>
      </c>
      <c r="J718" t="s">
        <v>32</v>
      </c>
    </row>
    <row r="719" spans="1:10" x14ac:dyDescent="0.3">
      <c r="A719" t="s">
        <v>749</v>
      </c>
      <c r="B719" s="1">
        <v>43287</v>
      </c>
      <c r="C719" t="s">
        <v>19</v>
      </c>
      <c r="D719" t="s">
        <v>16</v>
      </c>
      <c r="E719">
        <v>9</v>
      </c>
      <c r="F719">
        <v>230</v>
      </c>
      <c r="G719">
        <v>2070</v>
      </c>
      <c r="H719">
        <v>0.03</v>
      </c>
      <c r="I719">
        <v>62.1</v>
      </c>
      <c r="J719" t="s">
        <v>35</v>
      </c>
    </row>
    <row r="720" spans="1:10" x14ac:dyDescent="0.3">
      <c r="A720" t="s">
        <v>750</v>
      </c>
      <c r="B720" s="1">
        <v>43288</v>
      </c>
      <c r="C720" t="s">
        <v>15</v>
      </c>
      <c r="D720" t="s">
        <v>27</v>
      </c>
      <c r="E720">
        <v>15</v>
      </c>
      <c r="F720">
        <v>40</v>
      </c>
      <c r="G720">
        <v>600</v>
      </c>
      <c r="H720">
        <v>0.03</v>
      </c>
      <c r="I720">
        <v>18</v>
      </c>
      <c r="J720" t="s">
        <v>37</v>
      </c>
    </row>
    <row r="721" spans="1:10" x14ac:dyDescent="0.3">
      <c r="A721" t="s">
        <v>751</v>
      </c>
      <c r="B721" s="1">
        <v>43288</v>
      </c>
      <c r="C721" t="s">
        <v>15</v>
      </c>
      <c r="D721" t="s">
        <v>16</v>
      </c>
      <c r="E721">
        <v>15</v>
      </c>
      <c r="F721">
        <v>40</v>
      </c>
      <c r="G721">
        <v>600</v>
      </c>
      <c r="H721">
        <v>0.04</v>
      </c>
      <c r="I721">
        <v>24</v>
      </c>
      <c r="J721" t="s">
        <v>39</v>
      </c>
    </row>
    <row r="722" spans="1:10" x14ac:dyDescent="0.3">
      <c r="A722" t="s">
        <v>752</v>
      </c>
      <c r="B722" s="1">
        <v>43288</v>
      </c>
      <c r="C722" t="s">
        <v>30</v>
      </c>
      <c r="D722" t="s">
        <v>31</v>
      </c>
      <c r="E722">
        <v>11</v>
      </c>
      <c r="F722">
        <v>16</v>
      </c>
      <c r="G722">
        <v>176</v>
      </c>
      <c r="H722">
        <v>0.12</v>
      </c>
      <c r="I722">
        <v>21.12</v>
      </c>
      <c r="J722" t="s">
        <v>32</v>
      </c>
    </row>
    <row r="723" spans="1:10" x14ac:dyDescent="0.3">
      <c r="A723" t="s">
        <v>753</v>
      </c>
      <c r="B723" s="1">
        <v>43288</v>
      </c>
      <c r="C723" t="s">
        <v>30</v>
      </c>
      <c r="D723" t="s">
        <v>12</v>
      </c>
      <c r="E723">
        <v>12</v>
      </c>
      <c r="F723">
        <v>16</v>
      </c>
      <c r="G723">
        <v>192</v>
      </c>
      <c r="H723">
        <v>0.11</v>
      </c>
      <c r="I723">
        <v>21.12</v>
      </c>
      <c r="J723" t="s">
        <v>20</v>
      </c>
    </row>
    <row r="724" spans="1:10" x14ac:dyDescent="0.3">
      <c r="A724" t="s">
        <v>754</v>
      </c>
      <c r="B724" s="1">
        <v>43288</v>
      </c>
      <c r="C724" t="s">
        <v>30</v>
      </c>
      <c r="D724" t="s">
        <v>27</v>
      </c>
      <c r="E724">
        <v>18</v>
      </c>
      <c r="F724">
        <v>16</v>
      </c>
      <c r="G724">
        <v>288</v>
      </c>
      <c r="H724">
        <v>0.04</v>
      </c>
      <c r="I724">
        <v>11.52</v>
      </c>
      <c r="J724" t="s">
        <v>37</v>
      </c>
    </row>
    <row r="725" spans="1:10" x14ac:dyDescent="0.3">
      <c r="A725" t="s">
        <v>755</v>
      </c>
      <c r="B725" s="1">
        <v>43288</v>
      </c>
      <c r="C725" t="s">
        <v>15</v>
      </c>
      <c r="D725" t="s">
        <v>24</v>
      </c>
      <c r="E725">
        <v>20</v>
      </c>
      <c r="F725">
        <v>40</v>
      </c>
      <c r="G725">
        <v>800</v>
      </c>
      <c r="H725">
        <v>0.01</v>
      </c>
      <c r="I725">
        <v>8</v>
      </c>
      <c r="J725" t="s">
        <v>20</v>
      </c>
    </row>
    <row r="726" spans="1:10" x14ac:dyDescent="0.3">
      <c r="A726" t="s">
        <v>756</v>
      </c>
      <c r="B726" s="1">
        <v>43288</v>
      </c>
      <c r="C726" t="s">
        <v>34</v>
      </c>
      <c r="D726" t="s">
        <v>31</v>
      </c>
      <c r="E726">
        <v>7</v>
      </c>
      <c r="F726">
        <v>150</v>
      </c>
      <c r="G726">
        <v>1050</v>
      </c>
      <c r="H726">
        <v>0.03</v>
      </c>
      <c r="I726">
        <v>31.5</v>
      </c>
      <c r="J726" t="s">
        <v>37</v>
      </c>
    </row>
    <row r="727" spans="1:10" x14ac:dyDescent="0.3">
      <c r="A727" t="s">
        <v>757</v>
      </c>
      <c r="B727" s="1">
        <v>43288</v>
      </c>
      <c r="C727" t="s">
        <v>15</v>
      </c>
      <c r="D727" t="s">
        <v>27</v>
      </c>
      <c r="E727">
        <v>23</v>
      </c>
      <c r="F727">
        <v>40</v>
      </c>
      <c r="G727">
        <v>920</v>
      </c>
      <c r="H727">
        <v>0.06</v>
      </c>
      <c r="I727">
        <v>55.2</v>
      </c>
      <c r="J727" t="s">
        <v>20</v>
      </c>
    </row>
    <row r="728" spans="1:10" x14ac:dyDescent="0.3">
      <c r="A728" t="s">
        <v>758</v>
      </c>
      <c r="B728" s="1">
        <v>43288</v>
      </c>
      <c r="C728" t="s">
        <v>11</v>
      </c>
      <c r="D728" t="s">
        <v>12</v>
      </c>
      <c r="E728">
        <v>7</v>
      </c>
      <c r="F728">
        <v>80</v>
      </c>
      <c r="G728">
        <v>560</v>
      </c>
      <c r="H728">
        <v>0.02</v>
      </c>
      <c r="I728">
        <v>11.2</v>
      </c>
      <c r="J728" t="s">
        <v>37</v>
      </c>
    </row>
    <row r="729" spans="1:10" x14ac:dyDescent="0.3">
      <c r="A729" t="s">
        <v>759</v>
      </c>
      <c r="B729" s="1">
        <v>43288</v>
      </c>
      <c r="C729" t="s">
        <v>34</v>
      </c>
      <c r="D729" t="s">
        <v>16</v>
      </c>
      <c r="E729">
        <v>16</v>
      </c>
      <c r="F729">
        <v>150</v>
      </c>
      <c r="G729">
        <v>2400</v>
      </c>
      <c r="H729">
        <v>0.05</v>
      </c>
      <c r="I729">
        <v>120</v>
      </c>
      <c r="J729" t="s">
        <v>20</v>
      </c>
    </row>
    <row r="730" spans="1:10" x14ac:dyDescent="0.3">
      <c r="A730" t="s">
        <v>760</v>
      </c>
      <c r="B730" s="1">
        <v>43288</v>
      </c>
      <c r="C730" t="s">
        <v>19</v>
      </c>
      <c r="D730" t="s">
        <v>16</v>
      </c>
      <c r="E730">
        <v>6</v>
      </c>
      <c r="F730">
        <v>230</v>
      </c>
      <c r="G730">
        <v>1380</v>
      </c>
      <c r="H730">
        <v>0.1</v>
      </c>
      <c r="I730">
        <v>138</v>
      </c>
      <c r="J730" t="s">
        <v>37</v>
      </c>
    </row>
    <row r="731" spans="1:10" x14ac:dyDescent="0.3">
      <c r="A731" t="s">
        <v>761</v>
      </c>
      <c r="B731" s="1">
        <v>43289</v>
      </c>
      <c r="C731" t="s">
        <v>15</v>
      </c>
      <c r="D731" t="s">
        <v>31</v>
      </c>
      <c r="E731">
        <v>7</v>
      </c>
      <c r="F731">
        <v>40</v>
      </c>
      <c r="G731">
        <v>280</v>
      </c>
      <c r="H731">
        <v>0.12</v>
      </c>
      <c r="I731">
        <v>33.6</v>
      </c>
      <c r="J731" t="s">
        <v>20</v>
      </c>
    </row>
    <row r="732" spans="1:10" x14ac:dyDescent="0.3">
      <c r="A732" t="s">
        <v>762</v>
      </c>
      <c r="B732" s="1">
        <v>43289</v>
      </c>
      <c r="C732" t="s">
        <v>11</v>
      </c>
      <c r="D732" t="s">
        <v>24</v>
      </c>
      <c r="E732">
        <v>23</v>
      </c>
      <c r="F732">
        <v>80</v>
      </c>
      <c r="G732">
        <v>1840</v>
      </c>
      <c r="H732">
        <v>0.05</v>
      </c>
      <c r="I732">
        <v>92</v>
      </c>
      <c r="J732" t="s">
        <v>37</v>
      </c>
    </row>
    <row r="733" spans="1:10" x14ac:dyDescent="0.3">
      <c r="A733" t="s">
        <v>763</v>
      </c>
      <c r="B733" s="1">
        <v>43289</v>
      </c>
      <c r="C733" t="s">
        <v>11</v>
      </c>
      <c r="D733" t="s">
        <v>27</v>
      </c>
      <c r="E733">
        <v>16</v>
      </c>
      <c r="F733">
        <v>80</v>
      </c>
      <c r="G733">
        <v>1280</v>
      </c>
      <c r="H733">
        <v>0.1</v>
      </c>
      <c r="I733">
        <v>128</v>
      </c>
      <c r="J733" t="s">
        <v>20</v>
      </c>
    </row>
    <row r="734" spans="1:10" x14ac:dyDescent="0.3">
      <c r="A734" t="s">
        <v>764</v>
      </c>
      <c r="B734" s="1">
        <v>43289</v>
      </c>
      <c r="C734" t="s">
        <v>11</v>
      </c>
      <c r="D734" t="s">
        <v>12</v>
      </c>
      <c r="E734">
        <v>16</v>
      </c>
      <c r="F734">
        <v>80</v>
      </c>
      <c r="G734">
        <v>1280</v>
      </c>
      <c r="H734">
        <v>0.03</v>
      </c>
      <c r="I734">
        <v>38.4</v>
      </c>
      <c r="J734" t="s">
        <v>37</v>
      </c>
    </row>
    <row r="735" spans="1:10" x14ac:dyDescent="0.3">
      <c r="A735" t="s">
        <v>765</v>
      </c>
      <c r="B735" s="1">
        <v>43289</v>
      </c>
      <c r="C735" t="s">
        <v>11</v>
      </c>
      <c r="D735" t="s">
        <v>31</v>
      </c>
      <c r="E735">
        <v>22</v>
      </c>
      <c r="F735">
        <v>80</v>
      </c>
      <c r="G735">
        <v>1760</v>
      </c>
      <c r="H735">
        <v>0.09</v>
      </c>
      <c r="I735">
        <v>158.4</v>
      </c>
      <c r="J735" t="s">
        <v>20</v>
      </c>
    </row>
    <row r="736" spans="1:10" x14ac:dyDescent="0.3">
      <c r="A736" t="s">
        <v>766</v>
      </c>
      <c r="B736" s="1">
        <v>43289</v>
      </c>
      <c r="C736" t="s">
        <v>30</v>
      </c>
      <c r="D736" t="s">
        <v>12</v>
      </c>
      <c r="E736">
        <v>18</v>
      </c>
      <c r="F736">
        <v>16</v>
      </c>
      <c r="G736">
        <v>288</v>
      </c>
      <c r="H736">
        <v>0.05</v>
      </c>
      <c r="I736">
        <v>14.4</v>
      </c>
      <c r="J736" t="s">
        <v>37</v>
      </c>
    </row>
    <row r="737" spans="1:10" x14ac:dyDescent="0.3">
      <c r="A737" t="s">
        <v>767</v>
      </c>
      <c r="B737" s="1">
        <v>43289</v>
      </c>
      <c r="C737" t="s">
        <v>19</v>
      </c>
      <c r="D737" t="s">
        <v>31</v>
      </c>
      <c r="E737">
        <v>5</v>
      </c>
      <c r="F737">
        <v>230</v>
      </c>
      <c r="G737">
        <v>1150</v>
      </c>
      <c r="H737">
        <v>0.12</v>
      </c>
      <c r="I737">
        <v>138</v>
      </c>
      <c r="J737" t="s">
        <v>20</v>
      </c>
    </row>
    <row r="738" spans="1:10" x14ac:dyDescent="0.3">
      <c r="A738" t="s">
        <v>768</v>
      </c>
      <c r="B738" s="1">
        <v>43289</v>
      </c>
      <c r="C738" t="s">
        <v>34</v>
      </c>
      <c r="D738" t="s">
        <v>31</v>
      </c>
      <c r="E738">
        <v>7</v>
      </c>
      <c r="F738">
        <v>150</v>
      </c>
      <c r="G738">
        <v>1050</v>
      </c>
      <c r="H738">
        <v>0.02</v>
      </c>
      <c r="I738">
        <v>21</v>
      </c>
      <c r="J738" t="s">
        <v>37</v>
      </c>
    </row>
    <row r="739" spans="1:10" x14ac:dyDescent="0.3">
      <c r="A739" t="s">
        <v>769</v>
      </c>
      <c r="B739" s="1">
        <v>43289</v>
      </c>
      <c r="C739" t="s">
        <v>15</v>
      </c>
      <c r="D739" t="s">
        <v>24</v>
      </c>
      <c r="E739">
        <v>2</v>
      </c>
      <c r="F739">
        <v>40</v>
      </c>
      <c r="G739">
        <v>80</v>
      </c>
      <c r="H739">
        <v>0.03</v>
      </c>
      <c r="I739">
        <v>2.4</v>
      </c>
      <c r="J739" t="s">
        <v>20</v>
      </c>
    </row>
    <row r="740" spans="1:10" x14ac:dyDescent="0.3">
      <c r="A740" t="s">
        <v>770</v>
      </c>
      <c r="B740" s="1">
        <v>43289</v>
      </c>
      <c r="C740" t="s">
        <v>15</v>
      </c>
      <c r="D740" t="s">
        <v>27</v>
      </c>
      <c r="E740">
        <v>11</v>
      </c>
      <c r="F740">
        <v>40</v>
      </c>
      <c r="G740">
        <v>440</v>
      </c>
      <c r="H740">
        <v>0.06</v>
      </c>
      <c r="I740">
        <v>26.4</v>
      </c>
      <c r="J740" t="s">
        <v>37</v>
      </c>
    </row>
    <row r="741" spans="1:10" x14ac:dyDescent="0.3">
      <c r="A741" t="s">
        <v>771</v>
      </c>
      <c r="B741" s="1">
        <v>43289</v>
      </c>
      <c r="C741" t="s">
        <v>11</v>
      </c>
      <c r="D741" t="s">
        <v>27</v>
      </c>
      <c r="E741">
        <v>7</v>
      </c>
      <c r="F741">
        <v>80</v>
      </c>
      <c r="G741">
        <v>560</v>
      </c>
      <c r="H741">
        <v>0.02</v>
      </c>
      <c r="I741">
        <v>11.2</v>
      </c>
      <c r="J741" t="s">
        <v>20</v>
      </c>
    </row>
    <row r="742" spans="1:10" x14ac:dyDescent="0.3">
      <c r="A742" t="s">
        <v>772</v>
      </c>
      <c r="B742" s="1">
        <v>43290</v>
      </c>
      <c r="C742" t="s">
        <v>15</v>
      </c>
      <c r="D742" t="s">
        <v>24</v>
      </c>
      <c r="E742">
        <v>4</v>
      </c>
      <c r="F742">
        <v>40</v>
      </c>
      <c r="G742">
        <v>160</v>
      </c>
      <c r="H742">
        <v>0.11</v>
      </c>
      <c r="I742">
        <v>17.600000000000001</v>
      </c>
      <c r="J742" t="s">
        <v>37</v>
      </c>
    </row>
    <row r="743" spans="1:10" x14ac:dyDescent="0.3">
      <c r="A743" t="s">
        <v>773</v>
      </c>
      <c r="B743" s="1">
        <v>43290</v>
      </c>
      <c r="C743" t="s">
        <v>15</v>
      </c>
      <c r="D743" t="s">
        <v>24</v>
      </c>
      <c r="E743">
        <v>2</v>
      </c>
      <c r="F743">
        <v>40</v>
      </c>
      <c r="G743">
        <v>80</v>
      </c>
      <c r="H743">
        <v>0.02</v>
      </c>
      <c r="I743">
        <v>1.6</v>
      </c>
      <c r="J743" t="s">
        <v>20</v>
      </c>
    </row>
    <row r="744" spans="1:10" x14ac:dyDescent="0.3">
      <c r="A744" t="s">
        <v>774</v>
      </c>
      <c r="B744" s="1">
        <v>43290</v>
      </c>
      <c r="C744" t="s">
        <v>19</v>
      </c>
      <c r="D744" t="s">
        <v>27</v>
      </c>
      <c r="E744">
        <v>23</v>
      </c>
      <c r="F744">
        <v>230</v>
      </c>
      <c r="G744">
        <v>5290</v>
      </c>
      <c r="H744">
        <v>0.06</v>
      </c>
      <c r="I744">
        <v>317.39999999999998</v>
      </c>
      <c r="J744" t="s">
        <v>37</v>
      </c>
    </row>
    <row r="745" spans="1:10" x14ac:dyDescent="0.3">
      <c r="A745" t="s">
        <v>775</v>
      </c>
      <c r="B745" s="1">
        <v>43290</v>
      </c>
      <c r="C745" t="s">
        <v>11</v>
      </c>
      <c r="D745" t="s">
        <v>31</v>
      </c>
      <c r="E745">
        <v>21</v>
      </c>
      <c r="F745">
        <v>80</v>
      </c>
      <c r="G745">
        <v>1680</v>
      </c>
      <c r="H745">
        <v>0.09</v>
      </c>
      <c r="I745">
        <v>151.19999999999999</v>
      </c>
      <c r="J745" t="s">
        <v>20</v>
      </c>
    </row>
    <row r="746" spans="1:10" x14ac:dyDescent="0.3">
      <c r="A746" t="s">
        <v>776</v>
      </c>
      <c r="B746" s="1">
        <v>43290</v>
      </c>
      <c r="C746" t="s">
        <v>11</v>
      </c>
      <c r="D746" t="s">
        <v>31</v>
      </c>
      <c r="E746">
        <v>9</v>
      </c>
      <c r="F746">
        <v>80</v>
      </c>
      <c r="G746">
        <v>720</v>
      </c>
      <c r="H746">
        <v>0.06</v>
      </c>
      <c r="I746">
        <v>43.2</v>
      </c>
      <c r="J746" t="s">
        <v>37</v>
      </c>
    </row>
    <row r="747" spans="1:10" x14ac:dyDescent="0.3">
      <c r="A747" t="s">
        <v>777</v>
      </c>
      <c r="B747" s="1">
        <v>43290</v>
      </c>
      <c r="C747" t="s">
        <v>11</v>
      </c>
      <c r="D747" t="s">
        <v>31</v>
      </c>
      <c r="E747">
        <v>22</v>
      </c>
      <c r="F747">
        <v>80</v>
      </c>
      <c r="G747">
        <v>1760</v>
      </c>
      <c r="H747">
        <v>0.11</v>
      </c>
      <c r="I747">
        <v>193.6</v>
      </c>
      <c r="J747" t="s">
        <v>20</v>
      </c>
    </row>
    <row r="748" spans="1:10" x14ac:dyDescent="0.3">
      <c r="A748" t="s">
        <v>778</v>
      </c>
      <c r="B748" s="1">
        <v>43291</v>
      </c>
      <c r="C748" t="s">
        <v>19</v>
      </c>
      <c r="D748" t="s">
        <v>24</v>
      </c>
      <c r="E748">
        <v>15</v>
      </c>
      <c r="F748">
        <v>230</v>
      </c>
      <c r="G748">
        <v>3450</v>
      </c>
      <c r="H748">
        <v>0.11</v>
      </c>
      <c r="I748">
        <v>379.5</v>
      </c>
      <c r="J748" t="s">
        <v>37</v>
      </c>
    </row>
    <row r="749" spans="1:10" x14ac:dyDescent="0.3">
      <c r="A749" t="s">
        <v>779</v>
      </c>
      <c r="B749" s="1">
        <v>43291</v>
      </c>
      <c r="C749" t="s">
        <v>15</v>
      </c>
      <c r="D749" t="s">
        <v>16</v>
      </c>
      <c r="E749">
        <v>7</v>
      </c>
      <c r="F749">
        <v>40</v>
      </c>
      <c r="G749">
        <v>280</v>
      </c>
      <c r="H749">
        <v>0.01</v>
      </c>
      <c r="I749">
        <v>2.8</v>
      </c>
      <c r="J749" t="s">
        <v>20</v>
      </c>
    </row>
    <row r="750" spans="1:10" x14ac:dyDescent="0.3">
      <c r="A750" t="s">
        <v>780</v>
      </c>
      <c r="B750" s="1">
        <v>43291</v>
      </c>
      <c r="C750" t="s">
        <v>34</v>
      </c>
      <c r="D750" t="s">
        <v>31</v>
      </c>
      <c r="E750">
        <v>17</v>
      </c>
      <c r="F750">
        <v>150</v>
      </c>
      <c r="G750">
        <v>2550</v>
      </c>
      <c r="H750">
        <v>0.02</v>
      </c>
      <c r="I750">
        <v>51</v>
      </c>
      <c r="J750" t="s">
        <v>37</v>
      </c>
    </row>
    <row r="751" spans="1:10" x14ac:dyDescent="0.3">
      <c r="A751" t="s">
        <v>781</v>
      </c>
      <c r="B751" s="1">
        <v>43291</v>
      </c>
      <c r="C751" t="s">
        <v>34</v>
      </c>
      <c r="D751" t="s">
        <v>16</v>
      </c>
      <c r="E751">
        <v>22</v>
      </c>
      <c r="F751">
        <v>150</v>
      </c>
      <c r="G751">
        <v>3300</v>
      </c>
      <c r="H751">
        <v>0.02</v>
      </c>
      <c r="I751">
        <v>66</v>
      </c>
      <c r="J751" t="s">
        <v>20</v>
      </c>
    </row>
    <row r="752" spans="1:10" x14ac:dyDescent="0.3">
      <c r="A752" t="s">
        <v>782</v>
      </c>
      <c r="B752" s="1">
        <v>43291</v>
      </c>
      <c r="C752" t="s">
        <v>19</v>
      </c>
      <c r="D752" t="s">
        <v>24</v>
      </c>
      <c r="E752">
        <v>10</v>
      </c>
      <c r="F752">
        <v>230</v>
      </c>
      <c r="G752">
        <v>2300</v>
      </c>
      <c r="H752">
        <v>0.02</v>
      </c>
      <c r="I752">
        <v>46</v>
      </c>
      <c r="J752" t="s">
        <v>37</v>
      </c>
    </row>
    <row r="753" spans="1:10" x14ac:dyDescent="0.3">
      <c r="A753" t="s">
        <v>783</v>
      </c>
      <c r="B753" s="1">
        <v>43291</v>
      </c>
      <c r="C753" t="s">
        <v>15</v>
      </c>
      <c r="D753" t="s">
        <v>31</v>
      </c>
      <c r="E753">
        <v>21</v>
      </c>
      <c r="F753">
        <v>40</v>
      </c>
      <c r="G753">
        <v>840</v>
      </c>
      <c r="H753">
        <v>0.01</v>
      </c>
      <c r="I753">
        <v>8.4</v>
      </c>
      <c r="J753" t="s">
        <v>20</v>
      </c>
    </row>
    <row r="754" spans="1:10" x14ac:dyDescent="0.3">
      <c r="A754" t="s">
        <v>784</v>
      </c>
      <c r="B754" s="1">
        <v>43291</v>
      </c>
      <c r="C754" t="s">
        <v>19</v>
      </c>
      <c r="D754" t="s">
        <v>24</v>
      </c>
      <c r="E754">
        <v>5</v>
      </c>
      <c r="F754">
        <v>230</v>
      </c>
      <c r="G754">
        <v>1150</v>
      </c>
      <c r="H754">
        <v>0.1</v>
      </c>
      <c r="I754">
        <v>115</v>
      </c>
      <c r="J754" t="s">
        <v>37</v>
      </c>
    </row>
    <row r="755" spans="1:10" x14ac:dyDescent="0.3">
      <c r="A755" t="s">
        <v>785</v>
      </c>
      <c r="B755" s="1">
        <v>43291</v>
      </c>
      <c r="C755" t="s">
        <v>19</v>
      </c>
      <c r="D755" t="s">
        <v>31</v>
      </c>
      <c r="E755">
        <v>13</v>
      </c>
      <c r="F755">
        <v>230</v>
      </c>
      <c r="G755">
        <v>2990</v>
      </c>
      <c r="H755">
        <v>0.06</v>
      </c>
      <c r="I755">
        <v>179.4</v>
      </c>
      <c r="J755" t="s">
        <v>20</v>
      </c>
    </row>
    <row r="756" spans="1:10" x14ac:dyDescent="0.3">
      <c r="A756" t="s">
        <v>786</v>
      </c>
      <c r="B756" s="1">
        <v>43291</v>
      </c>
      <c r="C756" t="s">
        <v>34</v>
      </c>
      <c r="D756" t="s">
        <v>12</v>
      </c>
      <c r="E756">
        <v>23</v>
      </c>
      <c r="F756">
        <v>150</v>
      </c>
      <c r="G756">
        <v>3450</v>
      </c>
      <c r="H756">
        <v>0.1</v>
      </c>
      <c r="I756">
        <v>345</v>
      </c>
      <c r="J756" t="s">
        <v>37</v>
      </c>
    </row>
    <row r="757" spans="1:10" x14ac:dyDescent="0.3">
      <c r="A757" t="s">
        <v>787</v>
      </c>
      <c r="B757" s="1">
        <v>43291</v>
      </c>
      <c r="C757" t="s">
        <v>34</v>
      </c>
      <c r="D757" t="s">
        <v>12</v>
      </c>
      <c r="E757">
        <v>20</v>
      </c>
      <c r="F757">
        <v>150</v>
      </c>
      <c r="G757">
        <v>3000</v>
      </c>
      <c r="H757">
        <v>0.03</v>
      </c>
      <c r="I757">
        <v>90</v>
      </c>
      <c r="J757" t="s">
        <v>20</v>
      </c>
    </row>
    <row r="758" spans="1:10" x14ac:dyDescent="0.3">
      <c r="A758" t="s">
        <v>788</v>
      </c>
      <c r="B758" s="1">
        <v>43292</v>
      </c>
      <c r="C758" t="s">
        <v>19</v>
      </c>
      <c r="D758" t="s">
        <v>12</v>
      </c>
      <c r="E758">
        <v>3</v>
      </c>
      <c r="F758">
        <v>230</v>
      </c>
      <c r="G758">
        <v>690</v>
      </c>
      <c r="H758">
        <v>0.11</v>
      </c>
      <c r="I758">
        <v>75.900000000000006</v>
      </c>
      <c r="J758" t="s">
        <v>37</v>
      </c>
    </row>
    <row r="759" spans="1:10" x14ac:dyDescent="0.3">
      <c r="A759" t="s">
        <v>789</v>
      </c>
      <c r="B759" s="1">
        <v>43292</v>
      </c>
      <c r="C759" t="s">
        <v>34</v>
      </c>
      <c r="D759" t="s">
        <v>16</v>
      </c>
      <c r="E759">
        <v>16</v>
      </c>
      <c r="F759">
        <v>150</v>
      </c>
      <c r="G759">
        <v>2400</v>
      </c>
      <c r="H759">
        <v>0.08</v>
      </c>
      <c r="I759">
        <v>192</v>
      </c>
      <c r="J759" t="s">
        <v>20</v>
      </c>
    </row>
    <row r="760" spans="1:10" x14ac:dyDescent="0.3">
      <c r="A760" t="s">
        <v>790</v>
      </c>
      <c r="B760" s="1">
        <v>43292</v>
      </c>
      <c r="C760" t="s">
        <v>30</v>
      </c>
      <c r="D760" t="s">
        <v>31</v>
      </c>
      <c r="E760">
        <v>14</v>
      </c>
      <c r="F760">
        <v>16</v>
      </c>
      <c r="G760">
        <v>224</v>
      </c>
      <c r="H760">
        <v>0.06</v>
      </c>
      <c r="I760">
        <v>13.44</v>
      </c>
      <c r="J760" t="s">
        <v>37</v>
      </c>
    </row>
    <row r="761" spans="1:10" x14ac:dyDescent="0.3">
      <c r="A761" t="s">
        <v>791</v>
      </c>
      <c r="B761" s="1">
        <v>43292</v>
      </c>
      <c r="C761" t="s">
        <v>34</v>
      </c>
      <c r="D761" t="s">
        <v>16</v>
      </c>
      <c r="E761">
        <v>16</v>
      </c>
      <c r="F761">
        <v>150</v>
      </c>
      <c r="G761">
        <v>2400</v>
      </c>
      <c r="H761">
        <v>0.03</v>
      </c>
      <c r="I761">
        <v>72</v>
      </c>
      <c r="J761" t="s">
        <v>20</v>
      </c>
    </row>
    <row r="762" spans="1:10" x14ac:dyDescent="0.3">
      <c r="A762" t="s">
        <v>792</v>
      </c>
      <c r="B762" s="1">
        <v>43292</v>
      </c>
      <c r="C762" t="s">
        <v>30</v>
      </c>
      <c r="D762" t="s">
        <v>31</v>
      </c>
      <c r="E762">
        <v>19</v>
      </c>
      <c r="F762">
        <v>16</v>
      </c>
      <c r="G762">
        <v>304</v>
      </c>
      <c r="H762">
        <v>0.02</v>
      </c>
      <c r="I762">
        <v>6.08</v>
      </c>
      <c r="J762" t="s">
        <v>37</v>
      </c>
    </row>
    <row r="763" spans="1:10" x14ac:dyDescent="0.3">
      <c r="A763" t="s">
        <v>793</v>
      </c>
      <c r="B763" s="1">
        <v>43292</v>
      </c>
      <c r="C763" t="s">
        <v>11</v>
      </c>
      <c r="D763" t="s">
        <v>31</v>
      </c>
      <c r="E763">
        <v>6</v>
      </c>
      <c r="F763">
        <v>80</v>
      </c>
      <c r="G763">
        <v>480</v>
      </c>
      <c r="H763">
        <v>0.09</v>
      </c>
      <c r="I763">
        <v>43.2</v>
      </c>
      <c r="J763" t="s">
        <v>20</v>
      </c>
    </row>
    <row r="764" spans="1:10" x14ac:dyDescent="0.3">
      <c r="A764" t="s">
        <v>794</v>
      </c>
      <c r="B764" s="1">
        <v>43292</v>
      </c>
      <c r="C764" t="s">
        <v>11</v>
      </c>
      <c r="D764" t="s">
        <v>31</v>
      </c>
      <c r="E764">
        <v>9</v>
      </c>
      <c r="F764">
        <v>80</v>
      </c>
      <c r="G764">
        <v>720</v>
      </c>
      <c r="H764">
        <v>7.0000000000000007E-2</v>
      </c>
      <c r="I764">
        <v>50.4</v>
      </c>
      <c r="J764" t="s">
        <v>37</v>
      </c>
    </row>
    <row r="765" spans="1:10" x14ac:dyDescent="0.3">
      <c r="A765" t="s">
        <v>795</v>
      </c>
      <c r="B765" s="1">
        <v>43292</v>
      </c>
      <c r="C765" t="s">
        <v>34</v>
      </c>
      <c r="D765" t="s">
        <v>16</v>
      </c>
      <c r="E765">
        <v>20</v>
      </c>
      <c r="F765">
        <v>150</v>
      </c>
      <c r="G765">
        <v>3000</v>
      </c>
      <c r="H765">
        <v>0.09</v>
      </c>
      <c r="I765">
        <v>270</v>
      </c>
      <c r="J765" t="s">
        <v>20</v>
      </c>
    </row>
    <row r="766" spans="1:10" x14ac:dyDescent="0.3">
      <c r="A766" t="s">
        <v>796</v>
      </c>
      <c r="B766" s="1">
        <v>43292</v>
      </c>
      <c r="C766" t="s">
        <v>11</v>
      </c>
      <c r="D766" t="s">
        <v>24</v>
      </c>
      <c r="E766">
        <v>10</v>
      </c>
      <c r="F766">
        <v>80</v>
      </c>
      <c r="G766">
        <v>800</v>
      </c>
      <c r="H766">
        <v>0.11</v>
      </c>
      <c r="I766">
        <v>88</v>
      </c>
      <c r="J766" t="s">
        <v>37</v>
      </c>
    </row>
    <row r="767" spans="1:10" x14ac:dyDescent="0.3">
      <c r="A767" t="s">
        <v>797</v>
      </c>
      <c r="B767" s="1">
        <v>43292</v>
      </c>
      <c r="C767" t="s">
        <v>30</v>
      </c>
      <c r="D767" t="s">
        <v>12</v>
      </c>
      <c r="E767">
        <v>4</v>
      </c>
      <c r="F767">
        <v>16</v>
      </c>
      <c r="G767">
        <v>64</v>
      </c>
      <c r="H767">
        <v>0.12</v>
      </c>
      <c r="I767">
        <v>7.68</v>
      </c>
      <c r="J767" t="s">
        <v>20</v>
      </c>
    </row>
    <row r="768" spans="1:10" x14ac:dyDescent="0.3">
      <c r="A768" t="s">
        <v>798</v>
      </c>
      <c r="B768" s="1">
        <v>43292</v>
      </c>
      <c r="C768" t="s">
        <v>15</v>
      </c>
      <c r="D768" t="s">
        <v>31</v>
      </c>
      <c r="E768">
        <v>16</v>
      </c>
      <c r="F768">
        <v>40</v>
      </c>
      <c r="G768">
        <v>640</v>
      </c>
      <c r="H768">
        <v>0.11</v>
      </c>
      <c r="I768">
        <v>70.400000000000006</v>
      </c>
      <c r="J768" t="s">
        <v>37</v>
      </c>
    </row>
    <row r="769" spans="1:10" x14ac:dyDescent="0.3">
      <c r="A769" t="s">
        <v>799</v>
      </c>
      <c r="B769" s="1">
        <v>43293</v>
      </c>
      <c r="C769" t="s">
        <v>11</v>
      </c>
      <c r="D769" t="s">
        <v>16</v>
      </c>
      <c r="E769">
        <v>5</v>
      </c>
      <c r="F769">
        <v>80</v>
      </c>
      <c r="G769">
        <v>400</v>
      </c>
      <c r="H769">
        <v>0.04</v>
      </c>
      <c r="I769">
        <v>16</v>
      </c>
      <c r="J769" t="s">
        <v>20</v>
      </c>
    </row>
    <row r="770" spans="1:10" x14ac:dyDescent="0.3">
      <c r="A770" t="s">
        <v>800</v>
      </c>
      <c r="B770" s="1">
        <v>43293</v>
      </c>
      <c r="C770" t="s">
        <v>30</v>
      </c>
      <c r="D770" t="s">
        <v>24</v>
      </c>
      <c r="E770">
        <v>11</v>
      </c>
      <c r="F770">
        <v>16</v>
      </c>
      <c r="G770">
        <v>176</v>
      </c>
      <c r="H770">
        <v>0.04</v>
      </c>
      <c r="I770">
        <v>7.04</v>
      </c>
      <c r="J770" t="s">
        <v>37</v>
      </c>
    </row>
    <row r="771" spans="1:10" x14ac:dyDescent="0.3">
      <c r="A771" t="s">
        <v>801</v>
      </c>
      <c r="B771" s="1">
        <v>43293</v>
      </c>
      <c r="C771" t="s">
        <v>34</v>
      </c>
      <c r="D771" t="s">
        <v>12</v>
      </c>
      <c r="E771">
        <v>17</v>
      </c>
      <c r="F771">
        <v>150</v>
      </c>
      <c r="G771">
        <v>2550</v>
      </c>
      <c r="H771">
        <v>0.12</v>
      </c>
      <c r="I771">
        <v>306</v>
      </c>
      <c r="J771" t="s">
        <v>20</v>
      </c>
    </row>
    <row r="772" spans="1:10" x14ac:dyDescent="0.3">
      <c r="A772" t="s">
        <v>802</v>
      </c>
      <c r="B772" s="1">
        <v>43293</v>
      </c>
      <c r="C772" t="s">
        <v>19</v>
      </c>
      <c r="D772" t="s">
        <v>16</v>
      </c>
      <c r="E772">
        <v>19</v>
      </c>
      <c r="F772">
        <v>230</v>
      </c>
      <c r="G772">
        <v>4370</v>
      </c>
      <c r="H772">
        <v>0.11</v>
      </c>
      <c r="I772">
        <v>480.7</v>
      </c>
      <c r="J772" t="s">
        <v>37</v>
      </c>
    </row>
    <row r="773" spans="1:10" x14ac:dyDescent="0.3">
      <c r="A773" t="s">
        <v>803</v>
      </c>
      <c r="B773" s="1">
        <v>43293</v>
      </c>
      <c r="C773" t="s">
        <v>11</v>
      </c>
      <c r="D773" t="s">
        <v>12</v>
      </c>
      <c r="E773">
        <v>21</v>
      </c>
      <c r="F773">
        <v>80</v>
      </c>
      <c r="G773">
        <v>1680</v>
      </c>
      <c r="H773">
        <v>0.04</v>
      </c>
      <c r="I773">
        <v>67.2</v>
      </c>
      <c r="J773" t="s">
        <v>20</v>
      </c>
    </row>
    <row r="774" spans="1:10" x14ac:dyDescent="0.3">
      <c r="A774" t="s">
        <v>804</v>
      </c>
      <c r="B774" s="1">
        <v>43293</v>
      </c>
      <c r="C774" t="s">
        <v>19</v>
      </c>
      <c r="D774" t="s">
        <v>16</v>
      </c>
      <c r="E774">
        <v>7</v>
      </c>
      <c r="F774">
        <v>230</v>
      </c>
      <c r="G774">
        <v>1610</v>
      </c>
      <c r="H774">
        <v>0.01</v>
      </c>
      <c r="I774">
        <v>16.100000000000001</v>
      </c>
      <c r="J774" t="s">
        <v>37</v>
      </c>
    </row>
    <row r="775" spans="1:10" x14ac:dyDescent="0.3">
      <c r="A775" t="s">
        <v>805</v>
      </c>
      <c r="B775" s="1">
        <v>43293</v>
      </c>
      <c r="C775" t="s">
        <v>15</v>
      </c>
      <c r="D775" t="s">
        <v>24</v>
      </c>
      <c r="E775">
        <v>2</v>
      </c>
      <c r="F775">
        <v>40</v>
      </c>
      <c r="G775">
        <v>80</v>
      </c>
      <c r="H775">
        <v>0.03</v>
      </c>
      <c r="I775">
        <v>2.4</v>
      </c>
      <c r="J775" t="s">
        <v>20</v>
      </c>
    </row>
    <row r="776" spans="1:10" x14ac:dyDescent="0.3">
      <c r="A776" t="s">
        <v>806</v>
      </c>
      <c r="B776" s="1">
        <v>43293</v>
      </c>
      <c r="C776" t="s">
        <v>34</v>
      </c>
      <c r="D776" t="s">
        <v>12</v>
      </c>
      <c r="E776">
        <v>7</v>
      </c>
      <c r="F776">
        <v>150</v>
      </c>
      <c r="G776">
        <v>1050</v>
      </c>
      <c r="H776">
        <v>0.02</v>
      </c>
      <c r="I776">
        <v>21</v>
      </c>
      <c r="J776" t="s">
        <v>37</v>
      </c>
    </row>
    <row r="777" spans="1:10" x14ac:dyDescent="0.3">
      <c r="A777" t="s">
        <v>807</v>
      </c>
      <c r="B777" s="1">
        <v>43294</v>
      </c>
      <c r="C777" t="s">
        <v>11</v>
      </c>
      <c r="D777" t="s">
        <v>24</v>
      </c>
      <c r="E777">
        <v>16</v>
      </c>
      <c r="F777">
        <v>80</v>
      </c>
      <c r="G777">
        <v>1280</v>
      </c>
      <c r="H777">
        <v>0.04</v>
      </c>
      <c r="I777">
        <v>51.2</v>
      </c>
      <c r="J777" t="s">
        <v>20</v>
      </c>
    </row>
    <row r="778" spans="1:10" x14ac:dyDescent="0.3">
      <c r="A778" t="s">
        <v>808</v>
      </c>
      <c r="B778" s="1">
        <v>43294</v>
      </c>
      <c r="C778" t="s">
        <v>15</v>
      </c>
      <c r="D778" t="s">
        <v>16</v>
      </c>
      <c r="E778">
        <v>4</v>
      </c>
      <c r="F778">
        <v>40</v>
      </c>
      <c r="G778">
        <v>160</v>
      </c>
      <c r="H778">
        <v>0.12</v>
      </c>
      <c r="I778">
        <v>19.2</v>
      </c>
      <c r="J778" t="s">
        <v>37</v>
      </c>
    </row>
    <row r="779" spans="1:10" x14ac:dyDescent="0.3">
      <c r="A779" t="s">
        <v>809</v>
      </c>
      <c r="B779" s="1">
        <v>43294</v>
      </c>
      <c r="C779" t="s">
        <v>30</v>
      </c>
      <c r="D779" t="s">
        <v>12</v>
      </c>
      <c r="E779">
        <v>22</v>
      </c>
      <c r="F779">
        <v>16</v>
      </c>
      <c r="G779">
        <v>352</v>
      </c>
      <c r="H779">
        <v>0.01</v>
      </c>
      <c r="I779">
        <v>3.52</v>
      </c>
      <c r="J779" t="s">
        <v>20</v>
      </c>
    </row>
    <row r="780" spans="1:10" x14ac:dyDescent="0.3">
      <c r="A780" t="s">
        <v>810</v>
      </c>
      <c r="B780" s="1">
        <v>43294</v>
      </c>
      <c r="C780" t="s">
        <v>15</v>
      </c>
      <c r="D780" t="s">
        <v>27</v>
      </c>
      <c r="E780">
        <v>18</v>
      </c>
      <c r="F780">
        <v>40</v>
      </c>
      <c r="G780">
        <v>720</v>
      </c>
      <c r="H780">
        <v>0.06</v>
      </c>
      <c r="I780">
        <v>43.2</v>
      </c>
      <c r="J780" t="s">
        <v>37</v>
      </c>
    </row>
    <row r="781" spans="1:10" x14ac:dyDescent="0.3">
      <c r="A781" t="s">
        <v>811</v>
      </c>
      <c r="B781" s="1">
        <v>43294</v>
      </c>
      <c r="C781" t="s">
        <v>11</v>
      </c>
      <c r="D781" t="s">
        <v>24</v>
      </c>
      <c r="E781">
        <v>6</v>
      </c>
      <c r="F781">
        <v>80</v>
      </c>
      <c r="G781">
        <v>480</v>
      </c>
      <c r="H781">
        <v>0.01</v>
      </c>
      <c r="I781">
        <v>4.8</v>
      </c>
      <c r="J781" t="s">
        <v>20</v>
      </c>
    </row>
    <row r="782" spans="1:10" x14ac:dyDescent="0.3">
      <c r="A782" t="s">
        <v>812</v>
      </c>
      <c r="B782" s="1">
        <v>43294</v>
      </c>
      <c r="C782" t="s">
        <v>19</v>
      </c>
      <c r="D782" t="s">
        <v>24</v>
      </c>
      <c r="E782">
        <v>2</v>
      </c>
      <c r="F782">
        <v>230</v>
      </c>
      <c r="G782">
        <v>460</v>
      </c>
      <c r="H782">
        <v>0.09</v>
      </c>
      <c r="I782">
        <v>41.4</v>
      </c>
      <c r="J782" t="s">
        <v>37</v>
      </c>
    </row>
    <row r="783" spans="1:10" x14ac:dyDescent="0.3">
      <c r="A783" t="s">
        <v>813</v>
      </c>
      <c r="B783" s="1">
        <v>43295</v>
      </c>
      <c r="C783" t="s">
        <v>34</v>
      </c>
      <c r="D783" t="s">
        <v>31</v>
      </c>
      <c r="E783">
        <v>11</v>
      </c>
      <c r="F783">
        <v>150</v>
      </c>
      <c r="G783">
        <v>1650</v>
      </c>
      <c r="H783">
        <v>0.09</v>
      </c>
      <c r="I783">
        <v>148.5</v>
      </c>
      <c r="J783" t="s">
        <v>20</v>
      </c>
    </row>
    <row r="784" spans="1:10" x14ac:dyDescent="0.3">
      <c r="A784" t="s">
        <v>814</v>
      </c>
      <c r="B784" s="1">
        <v>43295</v>
      </c>
      <c r="C784" t="s">
        <v>34</v>
      </c>
      <c r="D784" t="s">
        <v>27</v>
      </c>
      <c r="E784">
        <v>15</v>
      </c>
      <c r="F784">
        <v>150</v>
      </c>
      <c r="G784">
        <v>2250</v>
      </c>
      <c r="H784">
        <v>0.08</v>
      </c>
      <c r="I784">
        <v>180</v>
      </c>
      <c r="J784" t="s">
        <v>37</v>
      </c>
    </row>
    <row r="785" spans="1:10" x14ac:dyDescent="0.3">
      <c r="A785" t="s">
        <v>815</v>
      </c>
      <c r="B785" s="1">
        <v>43295</v>
      </c>
      <c r="C785" t="s">
        <v>11</v>
      </c>
      <c r="D785" t="s">
        <v>12</v>
      </c>
      <c r="E785">
        <v>17</v>
      </c>
      <c r="F785">
        <v>80</v>
      </c>
      <c r="G785">
        <v>1360</v>
      </c>
      <c r="H785">
        <v>0.09</v>
      </c>
      <c r="I785">
        <v>122.4</v>
      </c>
      <c r="J785" t="s">
        <v>20</v>
      </c>
    </row>
    <row r="786" spans="1:10" x14ac:dyDescent="0.3">
      <c r="A786" t="s">
        <v>816</v>
      </c>
      <c r="B786" s="1">
        <v>43295</v>
      </c>
      <c r="C786" t="s">
        <v>34</v>
      </c>
      <c r="D786" t="s">
        <v>31</v>
      </c>
      <c r="E786">
        <v>13</v>
      </c>
      <c r="F786">
        <v>150</v>
      </c>
      <c r="G786">
        <v>1950</v>
      </c>
      <c r="H786">
        <v>0.11</v>
      </c>
      <c r="I786">
        <v>214.5</v>
      </c>
      <c r="J786" t="s">
        <v>37</v>
      </c>
    </row>
    <row r="787" spans="1:10" x14ac:dyDescent="0.3">
      <c r="A787" t="s">
        <v>817</v>
      </c>
      <c r="B787" s="1">
        <v>43295</v>
      </c>
      <c r="C787" t="s">
        <v>15</v>
      </c>
      <c r="D787" t="s">
        <v>27</v>
      </c>
      <c r="E787">
        <v>7</v>
      </c>
      <c r="F787">
        <v>40</v>
      </c>
      <c r="G787">
        <v>280</v>
      </c>
      <c r="H787">
        <v>7.0000000000000007E-2</v>
      </c>
      <c r="I787">
        <v>19.600000000000001</v>
      </c>
      <c r="J787" t="s">
        <v>20</v>
      </c>
    </row>
    <row r="788" spans="1:10" x14ac:dyDescent="0.3">
      <c r="A788" t="s">
        <v>818</v>
      </c>
      <c r="B788" s="1">
        <v>43295</v>
      </c>
      <c r="C788" t="s">
        <v>19</v>
      </c>
      <c r="D788" t="s">
        <v>27</v>
      </c>
      <c r="E788">
        <v>3</v>
      </c>
      <c r="F788">
        <v>230</v>
      </c>
      <c r="G788">
        <v>690</v>
      </c>
      <c r="H788">
        <v>0.01</v>
      </c>
      <c r="I788">
        <v>6.9</v>
      </c>
      <c r="J788" t="s">
        <v>37</v>
      </c>
    </row>
    <row r="789" spans="1:10" x14ac:dyDescent="0.3">
      <c r="A789" t="s">
        <v>819</v>
      </c>
      <c r="B789" s="1">
        <v>43295</v>
      </c>
      <c r="C789" t="s">
        <v>15</v>
      </c>
      <c r="D789" t="s">
        <v>24</v>
      </c>
      <c r="E789">
        <v>12</v>
      </c>
      <c r="F789">
        <v>40</v>
      </c>
      <c r="G789">
        <v>480</v>
      </c>
      <c r="H789">
        <v>0.02</v>
      </c>
      <c r="I789">
        <v>9.6</v>
      </c>
      <c r="J789" t="s">
        <v>20</v>
      </c>
    </row>
    <row r="790" spans="1:10" x14ac:dyDescent="0.3">
      <c r="A790" t="s">
        <v>820</v>
      </c>
      <c r="B790" s="1">
        <v>43295</v>
      </c>
      <c r="C790" t="s">
        <v>34</v>
      </c>
      <c r="D790" t="s">
        <v>24</v>
      </c>
      <c r="E790">
        <v>11</v>
      </c>
      <c r="F790">
        <v>150</v>
      </c>
      <c r="G790">
        <v>1650</v>
      </c>
      <c r="H790">
        <v>0.11</v>
      </c>
      <c r="I790">
        <v>181.5</v>
      </c>
      <c r="J790" t="s">
        <v>37</v>
      </c>
    </row>
    <row r="791" spans="1:10" x14ac:dyDescent="0.3">
      <c r="A791" t="s">
        <v>821</v>
      </c>
      <c r="B791" s="1">
        <v>43295</v>
      </c>
      <c r="C791" t="s">
        <v>15</v>
      </c>
      <c r="D791" t="s">
        <v>16</v>
      </c>
      <c r="E791">
        <v>21</v>
      </c>
      <c r="F791">
        <v>40</v>
      </c>
      <c r="G791">
        <v>840</v>
      </c>
      <c r="H791">
        <v>0.03</v>
      </c>
      <c r="I791">
        <v>25.2</v>
      </c>
      <c r="J791" t="s">
        <v>20</v>
      </c>
    </row>
    <row r="792" spans="1:10" x14ac:dyDescent="0.3">
      <c r="A792" t="s">
        <v>822</v>
      </c>
      <c r="B792" s="1">
        <v>43295</v>
      </c>
      <c r="C792" t="s">
        <v>34</v>
      </c>
      <c r="D792" t="s">
        <v>12</v>
      </c>
      <c r="E792">
        <v>22</v>
      </c>
      <c r="F792">
        <v>150</v>
      </c>
      <c r="G792">
        <v>3300</v>
      </c>
      <c r="H792">
        <v>7.0000000000000007E-2</v>
      </c>
      <c r="I792">
        <v>231</v>
      </c>
      <c r="J792" t="s">
        <v>37</v>
      </c>
    </row>
    <row r="793" spans="1:10" x14ac:dyDescent="0.3">
      <c r="A793" t="s">
        <v>823</v>
      </c>
      <c r="B793" s="1">
        <v>43295</v>
      </c>
      <c r="C793" t="s">
        <v>15</v>
      </c>
      <c r="D793" t="s">
        <v>24</v>
      </c>
      <c r="E793">
        <v>20</v>
      </c>
      <c r="F793">
        <v>40</v>
      </c>
      <c r="G793">
        <v>800</v>
      </c>
      <c r="H793">
        <v>0.01</v>
      </c>
      <c r="I793">
        <v>8</v>
      </c>
      <c r="J793" t="s">
        <v>20</v>
      </c>
    </row>
    <row r="794" spans="1:10" x14ac:dyDescent="0.3">
      <c r="A794" t="s">
        <v>824</v>
      </c>
      <c r="B794" s="1">
        <v>43296</v>
      </c>
      <c r="C794" t="s">
        <v>30</v>
      </c>
      <c r="D794" t="s">
        <v>31</v>
      </c>
      <c r="E794">
        <v>22</v>
      </c>
      <c r="F794">
        <v>16</v>
      </c>
      <c r="G794">
        <v>352</v>
      </c>
      <c r="H794">
        <v>0.12</v>
      </c>
      <c r="I794">
        <v>42.24</v>
      </c>
      <c r="J794" t="s">
        <v>37</v>
      </c>
    </row>
    <row r="795" spans="1:10" x14ac:dyDescent="0.3">
      <c r="A795" t="s">
        <v>825</v>
      </c>
      <c r="B795" s="1">
        <v>43296</v>
      </c>
      <c r="C795" t="s">
        <v>15</v>
      </c>
      <c r="D795" t="s">
        <v>24</v>
      </c>
      <c r="E795">
        <v>4</v>
      </c>
      <c r="F795">
        <v>40</v>
      </c>
      <c r="G795">
        <v>160</v>
      </c>
      <c r="H795">
        <v>0.1</v>
      </c>
      <c r="I795">
        <v>16</v>
      </c>
      <c r="J795" t="s">
        <v>20</v>
      </c>
    </row>
    <row r="796" spans="1:10" x14ac:dyDescent="0.3">
      <c r="A796" t="s">
        <v>826</v>
      </c>
      <c r="B796" s="1">
        <v>43296</v>
      </c>
      <c r="C796" t="s">
        <v>19</v>
      </c>
      <c r="D796" t="s">
        <v>27</v>
      </c>
      <c r="E796">
        <v>2</v>
      </c>
      <c r="F796">
        <v>230</v>
      </c>
      <c r="G796">
        <v>460</v>
      </c>
      <c r="H796">
        <v>0.09</v>
      </c>
      <c r="I796">
        <v>41.4</v>
      </c>
      <c r="J796" t="s">
        <v>37</v>
      </c>
    </row>
    <row r="797" spans="1:10" x14ac:dyDescent="0.3">
      <c r="A797" t="s">
        <v>827</v>
      </c>
      <c r="B797" s="1">
        <v>43296</v>
      </c>
      <c r="C797" t="s">
        <v>15</v>
      </c>
      <c r="D797" t="s">
        <v>12</v>
      </c>
      <c r="E797">
        <v>22</v>
      </c>
      <c r="F797">
        <v>40</v>
      </c>
      <c r="G797">
        <v>880</v>
      </c>
      <c r="H797">
        <v>0.02</v>
      </c>
      <c r="I797">
        <v>17.600000000000001</v>
      </c>
      <c r="J797" t="s">
        <v>20</v>
      </c>
    </row>
    <row r="798" spans="1:10" x14ac:dyDescent="0.3">
      <c r="A798" t="s">
        <v>828</v>
      </c>
      <c r="B798" s="1">
        <v>43296</v>
      </c>
      <c r="C798" t="s">
        <v>15</v>
      </c>
      <c r="D798" t="s">
        <v>16</v>
      </c>
      <c r="E798">
        <v>4</v>
      </c>
      <c r="F798">
        <v>40</v>
      </c>
      <c r="G798">
        <v>160</v>
      </c>
      <c r="H798">
        <v>0.03</v>
      </c>
      <c r="I798">
        <v>4.8</v>
      </c>
      <c r="J798" t="s">
        <v>37</v>
      </c>
    </row>
    <row r="799" spans="1:10" x14ac:dyDescent="0.3">
      <c r="A799" t="s">
        <v>829</v>
      </c>
      <c r="B799" s="1">
        <v>43296</v>
      </c>
      <c r="C799" t="s">
        <v>30</v>
      </c>
      <c r="D799" t="s">
        <v>16</v>
      </c>
      <c r="E799">
        <v>5</v>
      </c>
      <c r="F799">
        <v>16</v>
      </c>
      <c r="G799">
        <v>80</v>
      </c>
      <c r="H799">
        <v>0.11</v>
      </c>
      <c r="I799">
        <v>8.8000000000000007</v>
      </c>
      <c r="J799" t="s">
        <v>20</v>
      </c>
    </row>
    <row r="800" spans="1:10" x14ac:dyDescent="0.3">
      <c r="A800" t="s">
        <v>830</v>
      </c>
      <c r="B800" s="1">
        <v>43296</v>
      </c>
      <c r="C800" t="s">
        <v>11</v>
      </c>
      <c r="D800" t="s">
        <v>27</v>
      </c>
      <c r="E800">
        <v>2</v>
      </c>
      <c r="F800">
        <v>80</v>
      </c>
      <c r="G800">
        <v>160</v>
      </c>
      <c r="H800">
        <v>0.08</v>
      </c>
      <c r="I800">
        <v>12.8</v>
      </c>
      <c r="J800" t="s">
        <v>37</v>
      </c>
    </row>
    <row r="801" spans="1:10" x14ac:dyDescent="0.3">
      <c r="A801" t="s">
        <v>831</v>
      </c>
      <c r="B801" s="1">
        <v>43296</v>
      </c>
      <c r="C801" t="s">
        <v>30</v>
      </c>
      <c r="D801" t="s">
        <v>24</v>
      </c>
      <c r="E801">
        <v>9</v>
      </c>
      <c r="F801">
        <v>16</v>
      </c>
      <c r="G801">
        <v>144</v>
      </c>
      <c r="H801">
        <v>0.05</v>
      </c>
      <c r="I801">
        <v>7.2</v>
      </c>
      <c r="J801" t="s">
        <v>20</v>
      </c>
    </row>
    <row r="802" spans="1:10" x14ac:dyDescent="0.3">
      <c r="A802" t="s">
        <v>832</v>
      </c>
      <c r="B802" s="1">
        <v>43296</v>
      </c>
      <c r="C802" t="s">
        <v>19</v>
      </c>
      <c r="D802" t="s">
        <v>24</v>
      </c>
      <c r="E802">
        <v>6</v>
      </c>
      <c r="F802">
        <v>230</v>
      </c>
      <c r="G802">
        <v>1380</v>
      </c>
      <c r="H802">
        <v>0.05</v>
      </c>
      <c r="I802">
        <v>69</v>
      </c>
      <c r="J802" t="s">
        <v>37</v>
      </c>
    </row>
    <row r="803" spans="1:10" x14ac:dyDescent="0.3">
      <c r="A803" t="s">
        <v>833</v>
      </c>
      <c r="B803" s="1">
        <v>43296</v>
      </c>
      <c r="C803" t="s">
        <v>34</v>
      </c>
      <c r="D803" t="s">
        <v>27</v>
      </c>
      <c r="E803">
        <v>22</v>
      </c>
      <c r="F803">
        <v>150</v>
      </c>
      <c r="G803">
        <v>3300</v>
      </c>
      <c r="H803">
        <v>0.05</v>
      </c>
      <c r="I803">
        <v>165</v>
      </c>
      <c r="J803" t="s">
        <v>20</v>
      </c>
    </row>
    <row r="804" spans="1:10" x14ac:dyDescent="0.3">
      <c r="A804" t="s">
        <v>834</v>
      </c>
      <c r="B804" s="1">
        <v>43297</v>
      </c>
      <c r="C804" t="s">
        <v>19</v>
      </c>
      <c r="D804" t="s">
        <v>27</v>
      </c>
      <c r="E804">
        <v>8</v>
      </c>
      <c r="F804">
        <v>230</v>
      </c>
      <c r="G804">
        <v>1840</v>
      </c>
      <c r="H804">
        <v>0.01</v>
      </c>
      <c r="I804">
        <v>18.399999999999999</v>
      </c>
      <c r="J804" t="s">
        <v>37</v>
      </c>
    </row>
    <row r="805" spans="1:10" x14ac:dyDescent="0.3">
      <c r="A805" t="s">
        <v>835</v>
      </c>
      <c r="B805" s="1">
        <v>43297</v>
      </c>
      <c r="C805" t="s">
        <v>34</v>
      </c>
      <c r="D805" t="s">
        <v>12</v>
      </c>
      <c r="E805">
        <v>22</v>
      </c>
      <c r="F805">
        <v>150</v>
      </c>
      <c r="G805">
        <v>3300</v>
      </c>
      <c r="H805">
        <v>0.05</v>
      </c>
      <c r="I805">
        <v>165</v>
      </c>
      <c r="J805" t="s">
        <v>20</v>
      </c>
    </row>
    <row r="806" spans="1:10" x14ac:dyDescent="0.3">
      <c r="A806" t="s">
        <v>836</v>
      </c>
      <c r="B806" s="1">
        <v>43297</v>
      </c>
      <c r="C806" t="s">
        <v>15</v>
      </c>
      <c r="D806" t="s">
        <v>12</v>
      </c>
      <c r="E806">
        <v>5</v>
      </c>
      <c r="F806">
        <v>40</v>
      </c>
      <c r="G806">
        <v>200</v>
      </c>
      <c r="H806">
        <v>0.06</v>
      </c>
      <c r="I806">
        <v>12</v>
      </c>
      <c r="J806" t="s">
        <v>37</v>
      </c>
    </row>
    <row r="807" spans="1:10" x14ac:dyDescent="0.3">
      <c r="A807" t="s">
        <v>837</v>
      </c>
      <c r="B807" s="1">
        <v>43297</v>
      </c>
      <c r="C807" t="s">
        <v>34</v>
      </c>
      <c r="D807" t="s">
        <v>27</v>
      </c>
      <c r="E807">
        <v>20</v>
      </c>
      <c r="F807">
        <v>150</v>
      </c>
      <c r="G807">
        <v>3000</v>
      </c>
      <c r="H807">
        <v>0.1</v>
      </c>
      <c r="I807">
        <v>300</v>
      </c>
      <c r="J807" t="s">
        <v>20</v>
      </c>
    </row>
    <row r="808" spans="1:10" x14ac:dyDescent="0.3">
      <c r="A808" t="s">
        <v>838</v>
      </c>
      <c r="B808" s="1">
        <v>43297</v>
      </c>
      <c r="C808" t="s">
        <v>11</v>
      </c>
      <c r="D808" t="s">
        <v>27</v>
      </c>
      <c r="E808">
        <v>22</v>
      </c>
      <c r="F808">
        <v>80</v>
      </c>
      <c r="G808">
        <v>1760</v>
      </c>
      <c r="H808">
        <v>0.03</v>
      </c>
      <c r="I808">
        <v>52.8</v>
      </c>
      <c r="J808" t="s">
        <v>37</v>
      </c>
    </row>
    <row r="809" spans="1:10" x14ac:dyDescent="0.3">
      <c r="A809" t="s">
        <v>839</v>
      </c>
      <c r="B809" s="1">
        <v>43297</v>
      </c>
      <c r="C809" t="s">
        <v>30</v>
      </c>
      <c r="D809" t="s">
        <v>12</v>
      </c>
      <c r="E809">
        <v>11</v>
      </c>
      <c r="F809">
        <v>16</v>
      </c>
      <c r="G809">
        <v>176</v>
      </c>
      <c r="H809">
        <v>0.09</v>
      </c>
      <c r="I809">
        <v>15.84</v>
      </c>
      <c r="J809" t="s">
        <v>20</v>
      </c>
    </row>
    <row r="810" spans="1:10" x14ac:dyDescent="0.3">
      <c r="A810" t="s">
        <v>840</v>
      </c>
      <c r="B810" s="1">
        <v>43297</v>
      </c>
      <c r="C810" t="s">
        <v>30</v>
      </c>
      <c r="D810" t="s">
        <v>16</v>
      </c>
      <c r="E810">
        <v>22</v>
      </c>
      <c r="F810">
        <v>16</v>
      </c>
      <c r="G810">
        <v>352</v>
      </c>
      <c r="H810">
        <v>0.01</v>
      </c>
      <c r="I810">
        <v>3.52</v>
      </c>
      <c r="J810" t="s">
        <v>37</v>
      </c>
    </row>
    <row r="811" spans="1:10" x14ac:dyDescent="0.3">
      <c r="A811" t="s">
        <v>841</v>
      </c>
      <c r="B811" s="1">
        <v>43297</v>
      </c>
      <c r="C811" t="s">
        <v>15</v>
      </c>
      <c r="D811" t="s">
        <v>16</v>
      </c>
      <c r="E811">
        <v>23</v>
      </c>
      <c r="F811">
        <v>40</v>
      </c>
      <c r="G811">
        <v>920</v>
      </c>
      <c r="H811">
        <v>0.06</v>
      </c>
      <c r="I811">
        <v>55.2</v>
      </c>
      <c r="J811" t="s">
        <v>20</v>
      </c>
    </row>
    <row r="812" spans="1:10" x14ac:dyDescent="0.3">
      <c r="A812" t="s">
        <v>842</v>
      </c>
      <c r="B812" s="1">
        <v>43297</v>
      </c>
      <c r="C812" t="s">
        <v>11</v>
      </c>
      <c r="D812" t="s">
        <v>24</v>
      </c>
      <c r="E812">
        <v>14</v>
      </c>
      <c r="F812">
        <v>80</v>
      </c>
      <c r="G812">
        <v>1120</v>
      </c>
      <c r="H812">
        <v>0.1</v>
      </c>
      <c r="I812">
        <v>112</v>
      </c>
      <c r="J812" t="s">
        <v>37</v>
      </c>
    </row>
    <row r="813" spans="1:10" x14ac:dyDescent="0.3">
      <c r="A813" t="s">
        <v>843</v>
      </c>
      <c r="B813" s="1">
        <v>43297</v>
      </c>
      <c r="C813" t="s">
        <v>15</v>
      </c>
      <c r="D813" t="s">
        <v>12</v>
      </c>
      <c r="E813">
        <v>18</v>
      </c>
      <c r="F813">
        <v>40</v>
      </c>
      <c r="G813">
        <v>720</v>
      </c>
      <c r="H813">
        <v>0.06</v>
      </c>
      <c r="I813">
        <v>43.2</v>
      </c>
      <c r="J813" t="s">
        <v>20</v>
      </c>
    </row>
    <row r="814" spans="1:10" x14ac:dyDescent="0.3">
      <c r="A814" t="s">
        <v>844</v>
      </c>
      <c r="B814" s="1">
        <v>43298</v>
      </c>
      <c r="C814" t="s">
        <v>34</v>
      </c>
      <c r="D814" t="s">
        <v>27</v>
      </c>
      <c r="E814">
        <v>7</v>
      </c>
      <c r="F814">
        <v>150</v>
      </c>
      <c r="G814">
        <v>1050</v>
      </c>
      <c r="H814">
        <v>0.05</v>
      </c>
      <c r="I814">
        <v>52.5</v>
      </c>
      <c r="J814" t="s">
        <v>17</v>
      </c>
    </row>
    <row r="815" spans="1:10" x14ac:dyDescent="0.3">
      <c r="A815" t="s">
        <v>845</v>
      </c>
      <c r="B815" s="1">
        <v>43298</v>
      </c>
      <c r="C815" t="s">
        <v>15</v>
      </c>
      <c r="D815" t="s">
        <v>27</v>
      </c>
      <c r="E815">
        <v>15</v>
      </c>
      <c r="F815">
        <v>40</v>
      </c>
      <c r="G815">
        <v>600</v>
      </c>
      <c r="H815">
        <v>0.03</v>
      </c>
      <c r="I815">
        <v>18</v>
      </c>
      <c r="J815" t="s">
        <v>20</v>
      </c>
    </row>
    <row r="816" spans="1:10" x14ac:dyDescent="0.3">
      <c r="A816" t="s">
        <v>846</v>
      </c>
      <c r="B816" s="1">
        <v>43298</v>
      </c>
      <c r="C816" t="s">
        <v>30</v>
      </c>
      <c r="D816" t="s">
        <v>12</v>
      </c>
      <c r="E816">
        <v>7</v>
      </c>
      <c r="F816">
        <v>16</v>
      </c>
      <c r="G816">
        <v>112</v>
      </c>
      <c r="H816">
        <v>0.02</v>
      </c>
      <c r="I816">
        <v>2.2400000000000002</v>
      </c>
      <c r="J816" t="s">
        <v>22</v>
      </c>
    </row>
    <row r="817" spans="1:10" x14ac:dyDescent="0.3">
      <c r="A817" t="s">
        <v>847</v>
      </c>
      <c r="B817" s="1">
        <v>43298</v>
      </c>
      <c r="C817" t="s">
        <v>30</v>
      </c>
      <c r="D817" t="s">
        <v>27</v>
      </c>
      <c r="E817">
        <v>15</v>
      </c>
      <c r="F817">
        <v>16</v>
      </c>
      <c r="G817">
        <v>240</v>
      </c>
      <c r="H817">
        <v>0.12</v>
      </c>
      <c r="I817">
        <v>28.8</v>
      </c>
      <c r="J817" t="s">
        <v>25</v>
      </c>
    </row>
    <row r="818" spans="1:10" x14ac:dyDescent="0.3">
      <c r="A818" t="s">
        <v>848</v>
      </c>
      <c r="B818" s="1">
        <v>43298</v>
      </c>
      <c r="C818" t="s">
        <v>15</v>
      </c>
      <c r="D818" t="s">
        <v>12</v>
      </c>
      <c r="E818">
        <v>5</v>
      </c>
      <c r="F818">
        <v>40</v>
      </c>
      <c r="G818">
        <v>200</v>
      </c>
      <c r="H818">
        <v>0.09</v>
      </c>
      <c r="I818">
        <v>18</v>
      </c>
      <c r="J818" t="s">
        <v>28</v>
      </c>
    </row>
    <row r="819" spans="1:10" x14ac:dyDescent="0.3">
      <c r="A819" t="s">
        <v>849</v>
      </c>
      <c r="B819" s="1">
        <v>43298</v>
      </c>
      <c r="C819" t="s">
        <v>15</v>
      </c>
      <c r="D819" t="s">
        <v>31</v>
      </c>
      <c r="E819">
        <v>20</v>
      </c>
      <c r="F819">
        <v>40</v>
      </c>
      <c r="G819">
        <v>800</v>
      </c>
      <c r="H819">
        <v>0.03</v>
      </c>
      <c r="I819">
        <v>24</v>
      </c>
      <c r="J819" t="s">
        <v>32</v>
      </c>
    </row>
    <row r="820" spans="1:10" x14ac:dyDescent="0.3">
      <c r="A820" t="s">
        <v>850</v>
      </c>
      <c r="B820" s="1">
        <v>43298</v>
      </c>
      <c r="C820" t="s">
        <v>19</v>
      </c>
      <c r="D820" t="s">
        <v>27</v>
      </c>
      <c r="E820">
        <v>11</v>
      </c>
      <c r="F820">
        <v>230</v>
      </c>
      <c r="G820">
        <v>2530</v>
      </c>
      <c r="H820">
        <v>0.12</v>
      </c>
      <c r="I820">
        <v>303.60000000000002</v>
      </c>
      <c r="J820" t="s">
        <v>35</v>
      </c>
    </row>
    <row r="821" spans="1:10" x14ac:dyDescent="0.3">
      <c r="A821" t="s">
        <v>851</v>
      </c>
      <c r="B821" s="1">
        <v>43298</v>
      </c>
      <c r="C821" t="s">
        <v>30</v>
      </c>
      <c r="D821" t="s">
        <v>31</v>
      </c>
      <c r="E821">
        <v>17</v>
      </c>
      <c r="F821">
        <v>16</v>
      </c>
      <c r="G821">
        <v>272</v>
      </c>
      <c r="H821">
        <v>0.08</v>
      </c>
      <c r="I821">
        <v>21.76</v>
      </c>
      <c r="J821" t="s">
        <v>37</v>
      </c>
    </row>
    <row r="822" spans="1:10" x14ac:dyDescent="0.3">
      <c r="A822" t="s">
        <v>852</v>
      </c>
      <c r="B822" s="1">
        <v>43299</v>
      </c>
      <c r="C822" t="s">
        <v>30</v>
      </c>
      <c r="D822" t="s">
        <v>12</v>
      </c>
      <c r="E822">
        <v>18</v>
      </c>
      <c r="F822">
        <v>16</v>
      </c>
      <c r="G822">
        <v>288</v>
      </c>
      <c r="H822">
        <v>0.11</v>
      </c>
      <c r="I822">
        <v>31.68</v>
      </c>
      <c r="J822" t="s">
        <v>39</v>
      </c>
    </row>
    <row r="823" spans="1:10" x14ac:dyDescent="0.3">
      <c r="A823" t="s">
        <v>853</v>
      </c>
      <c r="B823" s="1">
        <v>43299</v>
      </c>
      <c r="C823" t="s">
        <v>19</v>
      </c>
      <c r="D823" t="s">
        <v>27</v>
      </c>
      <c r="E823">
        <v>2</v>
      </c>
      <c r="F823">
        <v>230</v>
      </c>
      <c r="G823">
        <v>460</v>
      </c>
      <c r="H823">
        <v>0.08</v>
      </c>
      <c r="I823">
        <v>36.799999999999997</v>
      </c>
      <c r="J823" t="s">
        <v>41</v>
      </c>
    </row>
    <row r="824" spans="1:10" x14ac:dyDescent="0.3">
      <c r="A824" t="s">
        <v>854</v>
      </c>
      <c r="B824" s="1">
        <v>43299</v>
      </c>
      <c r="C824" t="s">
        <v>30</v>
      </c>
      <c r="D824" t="s">
        <v>24</v>
      </c>
      <c r="E824">
        <v>17</v>
      </c>
      <c r="F824">
        <v>16</v>
      </c>
      <c r="G824">
        <v>272</v>
      </c>
      <c r="H824">
        <v>0.05</v>
      </c>
      <c r="I824">
        <v>13.6</v>
      </c>
      <c r="J824" t="s">
        <v>43</v>
      </c>
    </row>
    <row r="825" spans="1:10" x14ac:dyDescent="0.3">
      <c r="A825" t="s">
        <v>855</v>
      </c>
      <c r="B825" s="1">
        <v>43299</v>
      </c>
      <c r="C825" t="s">
        <v>11</v>
      </c>
      <c r="D825" t="s">
        <v>27</v>
      </c>
      <c r="E825">
        <v>16</v>
      </c>
      <c r="F825">
        <v>80</v>
      </c>
      <c r="G825">
        <v>1280</v>
      </c>
      <c r="H825">
        <v>0.05</v>
      </c>
      <c r="I825">
        <v>64</v>
      </c>
      <c r="J825" t="s">
        <v>13</v>
      </c>
    </row>
    <row r="826" spans="1:10" x14ac:dyDescent="0.3">
      <c r="A826" t="s">
        <v>856</v>
      </c>
      <c r="B826" s="1">
        <v>43299</v>
      </c>
      <c r="C826" t="s">
        <v>19</v>
      </c>
      <c r="D826" t="s">
        <v>16</v>
      </c>
      <c r="E826">
        <v>14</v>
      </c>
      <c r="F826">
        <v>230</v>
      </c>
      <c r="G826">
        <v>3220</v>
      </c>
      <c r="H826">
        <v>0.05</v>
      </c>
      <c r="I826">
        <v>161</v>
      </c>
      <c r="J826" t="s">
        <v>17</v>
      </c>
    </row>
    <row r="827" spans="1:10" x14ac:dyDescent="0.3">
      <c r="A827" t="s">
        <v>857</v>
      </c>
      <c r="B827" s="1">
        <v>43299</v>
      </c>
      <c r="C827" t="s">
        <v>15</v>
      </c>
      <c r="D827" t="s">
        <v>24</v>
      </c>
      <c r="E827">
        <v>13</v>
      </c>
      <c r="F827">
        <v>40</v>
      </c>
      <c r="G827">
        <v>520</v>
      </c>
      <c r="H827">
        <v>0.02</v>
      </c>
      <c r="I827">
        <v>10.4</v>
      </c>
      <c r="J827" t="s">
        <v>20</v>
      </c>
    </row>
    <row r="828" spans="1:10" x14ac:dyDescent="0.3">
      <c r="A828" t="s">
        <v>858</v>
      </c>
      <c r="B828" s="1">
        <v>43299</v>
      </c>
      <c r="C828" t="s">
        <v>19</v>
      </c>
      <c r="D828" t="s">
        <v>16</v>
      </c>
      <c r="E828">
        <v>7</v>
      </c>
      <c r="F828">
        <v>230</v>
      </c>
      <c r="G828">
        <v>1610</v>
      </c>
      <c r="H828">
        <v>0.08</v>
      </c>
      <c r="I828">
        <v>128.80000000000001</v>
      </c>
      <c r="J828" t="s">
        <v>22</v>
      </c>
    </row>
    <row r="829" spans="1:10" x14ac:dyDescent="0.3">
      <c r="A829" t="s">
        <v>859</v>
      </c>
      <c r="B829" s="1">
        <v>43299</v>
      </c>
      <c r="C829" t="s">
        <v>15</v>
      </c>
      <c r="D829" t="s">
        <v>27</v>
      </c>
      <c r="E829">
        <v>7</v>
      </c>
      <c r="F829">
        <v>40</v>
      </c>
      <c r="G829">
        <v>280</v>
      </c>
      <c r="H829">
        <v>0.11</v>
      </c>
      <c r="I829">
        <v>30.8</v>
      </c>
      <c r="J829" t="s">
        <v>25</v>
      </c>
    </row>
    <row r="830" spans="1:10" x14ac:dyDescent="0.3">
      <c r="A830" t="s">
        <v>860</v>
      </c>
      <c r="B830" s="1">
        <v>43299</v>
      </c>
      <c r="C830" t="s">
        <v>19</v>
      </c>
      <c r="D830" t="s">
        <v>24</v>
      </c>
      <c r="E830">
        <v>12</v>
      </c>
      <c r="F830">
        <v>230</v>
      </c>
      <c r="G830">
        <v>2760</v>
      </c>
      <c r="H830">
        <v>0.06</v>
      </c>
      <c r="I830">
        <v>165.6</v>
      </c>
      <c r="J830" t="s">
        <v>28</v>
      </c>
    </row>
    <row r="831" spans="1:10" x14ac:dyDescent="0.3">
      <c r="A831" t="s">
        <v>861</v>
      </c>
      <c r="B831" s="1">
        <v>43299</v>
      </c>
      <c r="C831" t="s">
        <v>15</v>
      </c>
      <c r="D831" t="s">
        <v>12</v>
      </c>
      <c r="E831">
        <v>19</v>
      </c>
      <c r="F831">
        <v>40</v>
      </c>
      <c r="G831">
        <v>760</v>
      </c>
      <c r="H831">
        <v>0.04</v>
      </c>
      <c r="I831">
        <v>30.4</v>
      </c>
      <c r="J831" t="s">
        <v>17</v>
      </c>
    </row>
    <row r="832" spans="1:10" x14ac:dyDescent="0.3">
      <c r="A832" t="s">
        <v>862</v>
      </c>
      <c r="B832" s="1">
        <v>43300</v>
      </c>
      <c r="C832" t="s">
        <v>19</v>
      </c>
      <c r="D832" t="s">
        <v>24</v>
      </c>
      <c r="E832">
        <v>20</v>
      </c>
      <c r="F832">
        <v>230</v>
      </c>
      <c r="G832">
        <v>4600</v>
      </c>
      <c r="H832">
        <v>0.06</v>
      </c>
      <c r="I832">
        <v>276</v>
      </c>
      <c r="J832" t="s">
        <v>20</v>
      </c>
    </row>
    <row r="833" spans="1:10" x14ac:dyDescent="0.3">
      <c r="A833" t="s">
        <v>863</v>
      </c>
      <c r="B833" s="1">
        <v>43300</v>
      </c>
      <c r="C833" t="s">
        <v>15</v>
      </c>
      <c r="D833" t="s">
        <v>31</v>
      </c>
      <c r="E833">
        <v>23</v>
      </c>
      <c r="F833">
        <v>40</v>
      </c>
      <c r="G833">
        <v>920</v>
      </c>
      <c r="H833">
        <v>0.04</v>
      </c>
      <c r="I833">
        <v>36.799999999999997</v>
      </c>
      <c r="J833" t="s">
        <v>22</v>
      </c>
    </row>
    <row r="834" spans="1:10" x14ac:dyDescent="0.3">
      <c r="A834" t="s">
        <v>864</v>
      </c>
      <c r="B834" s="1">
        <v>43300</v>
      </c>
      <c r="C834" t="s">
        <v>11</v>
      </c>
      <c r="D834" t="s">
        <v>31</v>
      </c>
      <c r="E834">
        <v>16</v>
      </c>
      <c r="F834">
        <v>80</v>
      </c>
      <c r="G834">
        <v>1280</v>
      </c>
      <c r="H834">
        <v>0.05</v>
      </c>
      <c r="I834">
        <v>64</v>
      </c>
      <c r="J834" t="s">
        <v>25</v>
      </c>
    </row>
    <row r="835" spans="1:10" x14ac:dyDescent="0.3">
      <c r="A835" t="s">
        <v>865</v>
      </c>
      <c r="B835" s="1">
        <v>43300</v>
      </c>
      <c r="C835" t="s">
        <v>34</v>
      </c>
      <c r="D835" t="s">
        <v>16</v>
      </c>
      <c r="E835">
        <v>23</v>
      </c>
      <c r="F835">
        <v>150</v>
      </c>
      <c r="G835">
        <v>3450</v>
      </c>
      <c r="H835">
        <v>0.11</v>
      </c>
      <c r="I835">
        <v>379.5</v>
      </c>
      <c r="J835" t="s">
        <v>28</v>
      </c>
    </row>
    <row r="836" spans="1:10" x14ac:dyDescent="0.3">
      <c r="A836" t="s">
        <v>866</v>
      </c>
      <c r="B836" s="1">
        <v>43300</v>
      </c>
      <c r="C836" t="s">
        <v>30</v>
      </c>
      <c r="D836" t="s">
        <v>16</v>
      </c>
      <c r="E836">
        <v>4</v>
      </c>
      <c r="F836">
        <v>16</v>
      </c>
      <c r="G836">
        <v>64</v>
      </c>
      <c r="H836">
        <v>7.0000000000000007E-2</v>
      </c>
      <c r="I836">
        <v>4.4800000000000004</v>
      </c>
      <c r="J836" t="s">
        <v>32</v>
      </c>
    </row>
    <row r="837" spans="1:10" x14ac:dyDescent="0.3">
      <c r="A837" t="s">
        <v>867</v>
      </c>
      <c r="B837" s="1">
        <v>43300</v>
      </c>
      <c r="C837" t="s">
        <v>19</v>
      </c>
      <c r="D837" t="s">
        <v>12</v>
      </c>
      <c r="E837">
        <v>8</v>
      </c>
      <c r="F837">
        <v>230</v>
      </c>
      <c r="G837">
        <v>1840</v>
      </c>
      <c r="H837">
        <v>0.03</v>
      </c>
      <c r="I837">
        <v>55.2</v>
      </c>
      <c r="J837" t="s">
        <v>35</v>
      </c>
    </row>
    <row r="838" spans="1:10" x14ac:dyDescent="0.3">
      <c r="A838" t="s">
        <v>868</v>
      </c>
      <c r="B838" s="1">
        <v>43300</v>
      </c>
      <c r="C838" t="s">
        <v>11</v>
      </c>
      <c r="D838" t="s">
        <v>16</v>
      </c>
      <c r="E838">
        <v>17</v>
      </c>
      <c r="F838">
        <v>80</v>
      </c>
      <c r="G838">
        <v>1360</v>
      </c>
      <c r="H838">
        <v>0.03</v>
      </c>
      <c r="I838">
        <v>40.799999999999997</v>
      </c>
      <c r="J838" t="s">
        <v>37</v>
      </c>
    </row>
    <row r="839" spans="1:10" x14ac:dyDescent="0.3">
      <c r="A839" t="s">
        <v>869</v>
      </c>
      <c r="B839" s="1">
        <v>43300</v>
      </c>
      <c r="C839" t="s">
        <v>11</v>
      </c>
      <c r="D839" t="s">
        <v>27</v>
      </c>
      <c r="E839">
        <v>10</v>
      </c>
      <c r="F839">
        <v>80</v>
      </c>
      <c r="G839">
        <v>800</v>
      </c>
      <c r="H839">
        <v>0.1</v>
      </c>
      <c r="I839">
        <v>80</v>
      </c>
      <c r="J839" t="s">
        <v>39</v>
      </c>
    </row>
    <row r="840" spans="1:10" x14ac:dyDescent="0.3">
      <c r="A840" t="s">
        <v>870</v>
      </c>
      <c r="B840" s="1">
        <v>43300</v>
      </c>
      <c r="C840" t="s">
        <v>30</v>
      </c>
      <c r="D840" t="s">
        <v>12</v>
      </c>
      <c r="E840">
        <v>20</v>
      </c>
      <c r="F840">
        <v>16</v>
      </c>
      <c r="G840">
        <v>320</v>
      </c>
      <c r="H840">
        <v>0.11</v>
      </c>
      <c r="I840">
        <v>35.200000000000003</v>
      </c>
      <c r="J840" t="s">
        <v>41</v>
      </c>
    </row>
    <row r="841" spans="1:10" x14ac:dyDescent="0.3">
      <c r="A841" t="s">
        <v>871</v>
      </c>
      <c r="B841" s="1">
        <v>43301</v>
      </c>
      <c r="C841" t="s">
        <v>19</v>
      </c>
      <c r="D841" t="s">
        <v>27</v>
      </c>
      <c r="E841">
        <v>19</v>
      </c>
      <c r="F841">
        <v>230</v>
      </c>
      <c r="G841">
        <v>4370</v>
      </c>
      <c r="H841">
        <v>0.06</v>
      </c>
      <c r="I841">
        <v>262.2</v>
      </c>
      <c r="J841" t="s">
        <v>43</v>
      </c>
    </row>
    <row r="842" spans="1:10" x14ac:dyDescent="0.3">
      <c r="A842" t="s">
        <v>872</v>
      </c>
      <c r="B842" s="1">
        <v>43301</v>
      </c>
      <c r="C842" t="s">
        <v>15</v>
      </c>
      <c r="D842" t="s">
        <v>24</v>
      </c>
      <c r="E842">
        <v>18</v>
      </c>
      <c r="F842">
        <v>40</v>
      </c>
      <c r="G842">
        <v>720</v>
      </c>
      <c r="H842">
        <v>0.03</v>
      </c>
      <c r="I842">
        <v>21.6</v>
      </c>
      <c r="J842" t="s">
        <v>13</v>
      </c>
    </row>
    <row r="843" spans="1:10" x14ac:dyDescent="0.3">
      <c r="A843" t="s">
        <v>873</v>
      </c>
      <c r="B843" s="1">
        <v>43301</v>
      </c>
      <c r="C843" t="s">
        <v>11</v>
      </c>
      <c r="D843" t="s">
        <v>16</v>
      </c>
      <c r="E843">
        <v>16</v>
      </c>
      <c r="F843">
        <v>80</v>
      </c>
      <c r="G843">
        <v>1280</v>
      </c>
      <c r="H843">
        <v>0.04</v>
      </c>
      <c r="I843">
        <v>51.2</v>
      </c>
      <c r="J843" t="s">
        <v>17</v>
      </c>
    </row>
    <row r="844" spans="1:10" x14ac:dyDescent="0.3">
      <c r="A844" t="s">
        <v>874</v>
      </c>
      <c r="B844" s="1">
        <v>43301</v>
      </c>
      <c r="C844" t="s">
        <v>11</v>
      </c>
      <c r="D844" t="s">
        <v>27</v>
      </c>
      <c r="E844">
        <v>8</v>
      </c>
      <c r="F844">
        <v>80</v>
      </c>
      <c r="G844">
        <v>640</v>
      </c>
      <c r="H844">
        <v>0.06</v>
      </c>
      <c r="I844">
        <v>38.4</v>
      </c>
      <c r="J844" t="s">
        <v>20</v>
      </c>
    </row>
    <row r="845" spans="1:10" x14ac:dyDescent="0.3">
      <c r="A845" t="s">
        <v>875</v>
      </c>
      <c r="B845" s="1">
        <v>43301</v>
      </c>
      <c r="C845" t="s">
        <v>34</v>
      </c>
      <c r="D845" t="s">
        <v>27</v>
      </c>
      <c r="E845">
        <v>4</v>
      </c>
      <c r="F845">
        <v>150</v>
      </c>
      <c r="G845">
        <v>600</v>
      </c>
      <c r="H845">
        <v>0.12</v>
      </c>
      <c r="I845">
        <v>72</v>
      </c>
      <c r="J845" t="s">
        <v>22</v>
      </c>
    </row>
    <row r="846" spans="1:10" x14ac:dyDescent="0.3">
      <c r="A846" t="s">
        <v>876</v>
      </c>
      <c r="B846" s="1">
        <v>43301</v>
      </c>
      <c r="C846" t="s">
        <v>19</v>
      </c>
      <c r="D846" t="s">
        <v>24</v>
      </c>
      <c r="E846">
        <v>15</v>
      </c>
      <c r="F846">
        <v>230</v>
      </c>
      <c r="G846">
        <v>3450</v>
      </c>
      <c r="H846">
        <v>0.04</v>
      </c>
      <c r="I846">
        <v>138</v>
      </c>
      <c r="J846" t="s">
        <v>25</v>
      </c>
    </row>
    <row r="847" spans="1:10" x14ac:dyDescent="0.3">
      <c r="A847" t="s">
        <v>877</v>
      </c>
      <c r="B847" s="1">
        <v>43302</v>
      </c>
      <c r="C847" t="s">
        <v>30</v>
      </c>
      <c r="D847" t="s">
        <v>16</v>
      </c>
      <c r="E847">
        <v>7</v>
      </c>
      <c r="F847">
        <v>16</v>
      </c>
      <c r="G847">
        <v>112</v>
      </c>
      <c r="H847">
        <v>0.08</v>
      </c>
      <c r="I847">
        <v>8.9600000000000009</v>
      </c>
      <c r="J847" t="s">
        <v>28</v>
      </c>
    </row>
    <row r="848" spans="1:10" x14ac:dyDescent="0.3">
      <c r="A848" t="s">
        <v>878</v>
      </c>
      <c r="B848" s="1">
        <v>43302</v>
      </c>
      <c r="C848" t="s">
        <v>15</v>
      </c>
      <c r="D848" t="s">
        <v>12</v>
      </c>
      <c r="E848">
        <v>18</v>
      </c>
      <c r="F848">
        <v>40</v>
      </c>
      <c r="G848">
        <v>720</v>
      </c>
      <c r="H848">
        <v>0.11</v>
      </c>
      <c r="I848">
        <v>79.2</v>
      </c>
      <c r="J848" t="s">
        <v>17</v>
      </c>
    </row>
    <row r="849" spans="1:10" x14ac:dyDescent="0.3">
      <c r="A849" t="s">
        <v>879</v>
      </c>
      <c r="B849" s="1">
        <v>43302</v>
      </c>
      <c r="C849" t="s">
        <v>15</v>
      </c>
      <c r="D849" t="s">
        <v>24</v>
      </c>
      <c r="E849">
        <v>4</v>
      </c>
      <c r="F849">
        <v>40</v>
      </c>
      <c r="G849">
        <v>160</v>
      </c>
      <c r="H849">
        <v>0.06</v>
      </c>
      <c r="I849">
        <v>9.6</v>
      </c>
      <c r="J849" t="s">
        <v>20</v>
      </c>
    </row>
    <row r="850" spans="1:10" x14ac:dyDescent="0.3">
      <c r="A850" t="s">
        <v>880</v>
      </c>
      <c r="B850" s="1">
        <v>43302</v>
      </c>
      <c r="C850" t="s">
        <v>15</v>
      </c>
      <c r="D850" t="s">
        <v>31</v>
      </c>
      <c r="E850">
        <v>16</v>
      </c>
      <c r="F850">
        <v>40</v>
      </c>
      <c r="G850">
        <v>640</v>
      </c>
      <c r="H850">
        <v>0.09</v>
      </c>
      <c r="I850">
        <v>57.6</v>
      </c>
      <c r="J850" t="s">
        <v>22</v>
      </c>
    </row>
    <row r="851" spans="1:10" x14ac:dyDescent="0.3">
      <c r="A851" t="s">
        <v>881</v>
      </c>
      <c r="B851" s="1">
        <v>43302</v>
      </c>
      <c r="C851" t="s">
        <v>15</v>
      </c>
      <c r="D851" t="s">
        <v>16</v>
      </c>
      <c r="E851">
        <v>18</v>
      </c>
      <c r="F851">
        <v>40</v>
      </c>
      <c r="G851">
        <v>720</v>
      </c>
      <c r="H851">
        <v>0.08</v>
      </c>
      <c r="I851">
        <v>57.6</v>
      </c>
      <c r="J851" t="s">
        <v>25</v>
      </c>
    </row>
    <row r="852" spans="1:10" x14ac:dyDescent="0.3">
      <c r="A852" t="s">
        <v>882</v>
      </c>
      <c r="B852" s="1">
        <v>43302</v>
      </c>
      <c r="C852" t="s">
        <v>15</v>
      </c>
      <c r="D852" t="s">
        <v>12</v>
      </c>
      <c r="E852">
        <v>9</v>
      </c>
      <c r="F852">
        <v>40</v>
      </c>
      <c r="G852">
        <v>360</v>
      </c>
      <c r="H852">
        <v>0.01</v>
      </c>
      <c r="I852">
        <v>3.6</v>
      </c>
      <c r="J852" t="s">
        <v>28</v>
      </c>
    </row>
    <row r="853" spans="1:10" x14ac:dyDescent="0.3">
      <c r="A853" t="s">
        <v>883</v>
      </c>
      <c r="B853" s="1">
        <v>43302</v>
      </c>
      <c r="C853" t="s">
        <v>19</v>
      </c>
      <c r="D853" t="s">
        <v>27</v>
      </c>
      <c r="E853">
        <v>16</v>
      </c>
      <c r="F853">
        <v>230</v>
      </c>
      <c r="G853">
        <v>3680</v>
      </c>
      <c r="H853">
        <v>0.11</v>
      </c>
      <c r="I853">
        <v>404.8</v>
      </c>
      <c r="J853" t="s">
        <v>32</v>
      </c>
    </row>
    <row r="854" spans="1:10" x14ac:dyDescent="0.3">
      <c r="A854" t="s">
        <v>884</v>
      </c>
      <c r="B854" s="1">
        <v>43302</v>
      </c>
      <c r="C854" t="s">
        <v>30</v>
      </c>
      <c r="D854" t="s">
        <v>24</v>
      </c>
      <c r="E854">
        <v>12</v>
      </c>
      <c r="F854">
        <v>16</v>
      </c>
      <c r="G854">
        <v>192</v>
      </c>
      <c r="H854">
        <v>0.11</v>
      </c>
      <c r="I854">
        <v>21.12</v>
      </c>
      <c r="J854" t="s">
        <v>35</v>
      </c>
    </row>
    <row r="855" spans="1:10" x14ac:dyDescent="0.3">
      <c r="A855" t="s">
        <v>885</v>
      </c>
      <c r="B855" s="1">
        <v>43302</v>
      </c>
      <c r="C855" t="s">
        <v>11</v>
      </c>
      <c r="D855" t="s">
        <v>16</v>
      </c>
      <c r="E855">
        <v>2</v>
      </c>
      <c r="F855">
        <v>80</v>
      </c>
      <c r="G855">
        <v>160</v>
      </c>
      <c r="H855">
        <v>7.0000000000000007E-2</v>
      </c>
      <c r="I855">
        <v>11.2</v>
      </c>
      <c r="J855" t="s">
        <v>37</v>
      </c>
    </row>
    <row r="856" spans="1:10" x14ac:dyDescent="0.3">
      <c r="A856" t="s">
        <v>886</v>
      </c>
      <c r="B856" s="1">
        <v>43302</v>
      </c>
      <c r="C856" t="s">
        <v>15</v>
      </c>
      <c r="D856" t="s">
        <v>12</v>
      </c>
      <c r="E856">
        <v>2</v>
      </c>
      <c r="F856">
        <v>40</v>
      </c>
      <c r="G856">
        <v>80</v>
      </c>
      <c r="H856">
        <v>0.12</v>
      </c>
      <c r="I856">
        <v>9.6</v>
      </c>
      <c r="J856" t="s">
        <v>39</v>
      </c>
    </row>
    <row r="857" spans="1:10" x14ac:dyDescent="0.3">
      <c r="A857" t="s">
        <v>887</v>
      </c>
      <c r="B857" s="1">
        <v>43303</v>
      </c>
      <c r="C857" t="s">
        <v>34</v>
      </c>
      <c r="D857" t="s">
        <v>12</v>
      </c>
      <c r="E857">
        <v>13</v>
      </c>
      <c r="F857">
        <v>150</v>
      </c>
      <c r="G857">
        <v>1950</v>
      </c>
      <c r="H857">
        <v>0.05</v>
      </c>
      <c r="I857">
        <v>97.5</v>
      </c>
      <c r="J857" t="s">
        <v>41</v>
      </c>
    </row>
    <row r="858" spans="1:10" x14ac:dyDescent="0.3">
      <c r="A858" t="s">
        <v>888</v>
      </c>
      <c r="B858" s="1">
        <v>43303</v>
      </c>
      <c r="C858" t="s">
        <v>11</v>
      </c>
      <c r="D858" t="s">
        <v>12</v>
      </c>
      <c r="E858">
        <v>14</v>
      </c>
      <c r="F858">
        <v>80</v>
      </c>
      <c r="G858">
        <v>1120</v>
      </c>
      <c r="H858">
        <v>0.08</v>
      </c>
      <c r="I858">
        <v>89.6</v>
      </c>
      <c r="J858" t="s">
        <v>43</v>
      </c>
    </row>
    <row r="859" spans="1:10" x14ac:dyDescent="0.3">
      <c r="A859" t="s">
        <v>889</v>
      </c>
      <c r="B859" s="1">
        <v>43303</v>
      </c>
      <c r="C859" t="s">
        <v>34</v>
      </c>
      <c r="D859" t="s">
        <v>27</v>
      </c>
      <c r="E859">
        <v>6</v>
      </c>
      <c r="F859">
        <v>150</v>
      </c>
      <c r="G859">
        <v>900</v>
      </c>
      <c r="H859">
        <v>0.03</v>
      </c>
      <c r="I859">
        <v>27</v>
      </c>
      <c r="J859" t="s">
        <v>13</v>
      </c>
    </row>
    <row r="860" spans="1:10" x14ac:dyDescent="0.3">
      <c r="A860" t="s">
        <v>890</v>
      </c>
      <c r="B860" s="1">
        <v>43303</v>
      </c>
      <c r="C860" t="s">
        <v>11</v>
      </c>
      <c r="D860" t="s">
        <v>27</v>
      </c>
      <c r="E860">
        <v>23</v>
      </c>
      <c r="F860">
        <v>80</v>
      </c>
      <c r="G860">
        <v>1840</v>
      </c>
      <c r="H860">
        <v>0.11</v>
      </c>
      <c r="I860">
        <v>202.4</v>
      </c>
      <c r="J860" t="s">
        <v>17</v>
      </c>
    </row>
    <row r="861" spans="1:10" x14ac:dyDescent="0.3">
      <c r="A861" t="s">
        <v>891</v>
      </c>
      <c r="B861" s="1">
        <v>43303</v>
      </c>
      <c r="C861" t="s">
        <v>11</v>
      </c>
      <c r="D861" t="s">
        <v>27</v>
      </c>
      <c r="E861">
        <v>21</v>
      </c>
      <c r="F861">
        <v>80</v>
      </c>
      <c r="G861">
        <v>1680</v>
      </c>
      <c r="H861">
        <v>0.05</v>
      </c>
      <c r="I861">
        <v>84</v>
      </c>
      <c r="J861" t="s">
        <v>20</v>
      </c>
    </row>
    <row r="862" spans="1:10" x14ac:dyDescent="0.3">
      <c r="A862" t="s">
        <v>892</v>
      </c>
      <c r="B862" s="1">
        <v>43303</v>
      </c>
      <c r="C862" t="s">
        <v>30</v>
      </c>
      <c r="D862" t="s">
        <v>24</v>
      </c>
      <c r="E862">
        <v>3</v>
      </c>
      <c r="F862">
        <v>16</v>
      </c>
      <c r="G862">
        <v>48</v>
      </c>
      <c r="H862">
        <v>0.05</v>
      </c>
      <c r="I862">
        <v>2.4</v>
      </c>
      <c r="J862" t="s">
        <v>22</v>
      </c>
    </row>
    <row r="863" spans="1:10" x14ac:dyDescent="0.3">
      <c r="A863" t="s">
        <v>893</v>
      </c>
      <c r="B863" s="1">
        <v>43303</v>
      </c>
      <c r="C863" t="s">
        <v>30</v>
      </c>
      <c r="D863" t="s">
        <v>16</v>
      </c>
      <c r="E863">
        <v>21</v>
      </c>
      <c r="F863">
        <v>16</v>
      </c>
      <c r="G863">
        <v>336</v>
      </c>
      <c r="H863">
        <v>0.02</v>
      </c>
      <c r="I863">
        <v>6.72</v>
      </c>
      <c r="J863" t="s">
        <v>25</v>
      </c>
    </row>
    <row r="864" spans="1:10" x14ac:dyDescent="0.3">
      <c r="A864" t="s">
        <v>894</v>
      </c>
      <c r="B864" s="1">
        <v>43303</v>
      </c>
      <c r="C864" t="s">
        <v>11</v>
      </c>
      <c r="D864" t="s">
        <v>27</v>
      </c>
      <c r="E864">
        <v>4</v>
      </c>
      <c r="F864">
        <v>80</v>
      </c>
      <c r="G864">
        <v>320</v>
      </c>
      <c r="H864">
        <v>0.11</v>
      </c>
      <c r="I864">
        <v>35.200000000000003</v>
      </c>
      <c r="J864" t="s">
        <v>28</v>
      </c>
    </row>
    <row r="865" spans="1:10" x14ac:dyDescent="0.3">
      <c r="A865" t="s">
        <v>895</v>
      </c>
      <c r="B865" s="1">
        <v>43303</v>
      </c>
      <c r="C865" t="s">
        <v>34</v>
      </c>
      <c r="D865" t="s">
        <v>31</v>
      </c>
      <c r="E865">
        <v>23</v>
      </c>
      <c r="F865">
        <v>150</v>
      </c>
      <c r="G865">
        <v>3450</v>
      </c>
      <c r="H865">
        <v>0.08</v>
      </c>
      <c r="I865">
        <v>276</v>
      </c>
      <c r="J865" t="s">
        <v>17</v>
      </c>
    </row>
    <row r="866" spans="1:10" x14ac:dyDescent="0.3">
      <c r="A866" t="s">
        <v>896</v>
      </c>
      <c r="B866" s="1">
        <v>43303</v>
      </c>
      <c r="C866" t="s">
        <v>30</v>
      </c>
      <c r="D866" t="s">
        <v>31</v>
      </c>
      <c r="E866">
        <v>23</v>
      </c>
      <c r="F866">
        <v>16</v>
      </c>
      <c r="G866">
        <v>368</v>
      </c>
      <c r="H866">
        <v>0.01</v>
      </c>
      <c r="I866">
        <v>3.68</v>
      </c>
      <c r="J866" t="s">
        <v>20</v>
      </c>
    </row>
    <row r="867" spans="1:10" x14ac:dyDescent="0.3">
      <c r="A867" t="s">
        <v>897</v>
      </c>
      <c r="B867" s="1">
        <v>43303</v>
      </c>
      <c r="C867" t="s">
        <v>15</v>
      </c>
      <c r="D867" t="s">
        <v>27</v>
      </c>
      <c r="E867">
        <v>22</v>
      </c>
      <c r="F867">
        <v>40</v>
      </c>
      <c r="G867">
        <v>880</v>
      </c>
      <c r="H867">
        <v>0.01</v>
      </c>
      <c r="I867">
        <v>8.8000000000000007</v>
      </c>
      <c r="J867" t="s">
        <v>22</v>
      </c>
    </row>
    <row r="868" spans="1:10" x14ac:dyDescent="0.3">
      <c r="A868" t="s">
        <v>898</v>
      </c>
      <c r="B868" s="1">
        <v>43304</v>
      </c>
      <c r="C868" t="s">
        <v>34</v>
      </c>
      <c r="D868" t="s">
        <v>12</v>
      </c>
      <c r="E868">
        <v>8</v>
      </c>
      <c r="F868">
        <v>150</v>
      </c>
      <c r="G868">
        <v>1200</v>
      </c>
      <c r="H868">
        <v>0.09</v>
      </c>
      <c r="I868">
        <v>108</v>
      </c>
      <c r="J868" t="s">
        <v>25</v>
      </c>
    </row>
    <row r="869" spans="1:10" x14ac:dyDescent="0.3">
      <c r="A869" t="s">
        <v>899</v>
      </c>
      <c r="B869" s="1">
        <v>43304</v>
      </c>
      <c r="C869" t="s">
        <v>34</v>
      </c>
      <c r="D869" t="s">
        <v>12</v>
      </c>
      <c r="E869">
        <v>20</v>
      </c>
      <c r="F869">
        <v>150</v>
      </c>
      <c r="G869">
        <v>3000</v>
      </c>
      <c r="H869">
        <v>0.01</v>
      </c>
      <c r="I869">
        <v>30</v>
      </c>
      <c r="J869" t="s">
        <v>28</v>
      </c>
    </row>
    <row r="870" spans="1:10" x14ac:dyDescent="0.3">
      <c r="A870" t="s">
        <v>900</v>
      </c>
      <c r="B870" s="1">
        <v>43304</v>
      </c>
      <c r="C870" t="s">
        <v>19</v>
      </c>
      <c r="D870" t="s">
        <v>16</v>
      </c>
      <c r="E870">
        <v>22</v>
      </c>
      <c r="F870">
        <v>230</v>
      </c>
      <c r="G870">
        <v>5060</v>
      </c>
      <c r="H870">
        <v>0.11</v>
      </c>
      <c r="I870">
        <v>556.6</v>
      </c>
      <c r="J870" t="s">
        <v>32</v>
      </c>
    </row>
    <row r="871" spans="1:10" x14ac:dyDescent="0.3">
      <c r="A871" t="s">
        <v>901</v>
      </c>
      <c r="B871" s="1">
        <v>43304</v>
      </c>
      <c r="C871" t="s">
        <v>30</v>
      </c>
      <c r="D871" t="s">
        <v>24</v>
      </c>
      <c r="E871">
        <v>23</v>
      </c>
      <c r="F871">
        <v>16</v>
      </c>
      <c r="G871">
        <v>368</v>
      </c>
      <c r="H871">
        <v>0.11</v>
      </c>
      <c r="I871">
        <v>40.479999999999997</v>
      </c>
      <c r="J871" t="s">
        <v>35</v>
      </c>
    </row>
    <row r="872" spans="1:10" x14ac:dyDescent="0.3">
      <c r="A872" t="s">
        <v>902</v>
      </c>
      <c r="B872" s="1">
        <v>43304</v>
      </c>
      <c r="C872" t="s">
        <v>11</v>
      </c>
      <c r="D872" t="s">
        <v>12</v>
      </c>
      <c r="E872">
        <v>6</v>
      </c>
      <c r="F872">
        <v>80</v>
      </c>
      <c r="G872">
        <v>480</v>
      </c>
      <c r="H872">
        <v>0.01</v>
      </c>
      <c r="I872">
        <v>4.8</v>
      </c>
      <c r="J872" t="s">
        <v>37</v>
      </c>
    </row>
    <row r="873" spans="1:10" x14ac:dyDescent="0.3">
      <c r="A873" t="s">
        <v>903</v>
      </c>
      <c r="B873" s="1">
        <v>43304</v>
      </c>
      <c r="C873" t="s">
        <v>30</v>
      </c>
      <c r="D873" t="s">
        <v>12</v>
      </c>
      <c r="E873">
        <v>7</v>
      </c>
      <c r="F873">
        <v>16</v>
      </c>
      <c r="G873">
        <v>112</v>
      </c>
      <c r="H873">
        <v>0.12</v>
      </c>
      <c r="I873">
        <v>13.44</v>
      </c>
      <c r="J873" t="s">
        <v>39</v>
      </c>
    </row>
    <row r="874" spans="1:10" x14ac:dyDescent="0.3">
      <c r="A874" t="s">
        <v>904</v>
      </c>
      <c r="B874" s="1">
        <v>43304</v>
      </c>
      <c r="C874" t="s">
        <v>11</v>
      </c>
      <c r="D874" t="s">
        <v>16</v>
      </c>
      <c r="E874">
        <v>10</v>
      </c>
      <c r="F874">
        <v>80</v>
      </c>
      <c r="G874">
        <v>800</v>
      </c>
      <c r="H874">
        <v>0.11</v>
      </c>
      <c r="I874">
        <v>88</v>
      </c>
      <c r="J874" t="s">
        <v>41</v>
      </c>
    </row>
    <row r="875" spans="1:10" x14ac:dyDescent="0.3">
      <c r="A875" t="s">
        <v>905</v>
      </c>
      <c r="B875" s="1">
        <v>43304</v>
      </c>
      <c r="C875" t="s">
        <v>19</v>
      </c>
      <c r="D875" t="s">
        <v>12</v>
      </c>
      <c r="E875">
        <v>9</v>
      </c>
      <c r="F875">
        <v>230</v>
      </c>
      <c r="G875">
        <v>2070</v>
      </c>
      <c r="H875">
        <v>7.0000000000000007E-2</v>
      </c>
      <c r="I875">
        <v>144.9</v>
      </c>
      <c r="J875" t="s">
        <v>43</v>
      </c>
    </row>
    <row r="876" spans="1:10" x14ac:dyDescent="0.3">
      <c r="A876" t="s">
        <v>906</v>
      </c>
      <c r="B876" s="1">
        <v>43305</v>
      </c>
      <c r="C876" t="s">
        <v>15</v>
      </c>
      <c r="D876" t="s">
        <v>16</v>
      </c>
      <c r="E876">
        <v>12</v>
      </c>
      <c r="F876">
        <v>40</v>
      </c>
      <c r="G876">
        <v>480</v>
      </c>
      <c r="H876">
        <v>0.1</v>
      </c>
      <c r="I876">
        <v>48</v>
      </c>
      <c r="J876" t="s">
        <v>13</v>
      </c>
    </row>
    <row r="877" spans="1:10" x14ac:dyDescent="0.3">
      <c r="A877" t="s">
        <v>907</v>
      </c>
      <c r="B877" s="1">
        <v>43305</v>
      </c>
      <c r="C877" t="s">
        <v>30</v>
      </c>
      <c r="D877" t="s">
        <v>31</v>
      </c>
      <c r="E877">
        <v>17</v>
      </c>
      <c r="F877">
        <v>16</v>
      </c>
      <c r="G877">
        <v>272</v>
      </c>
      <c r="H877">
        <v>0.1</v>
      </c>
      <c r="I877">
        <v>27.2</v>
      </c>
      <c r="J877" t="s">
        <v>17</v>
      </c>
    </row>
    <row r="878" spans="1:10" x14ac:dyDescent="0.3">
      <c r="A878" t="s">
        <v>908</v>
      </c>
      <c r="B878" s="1">
        <v>43305</v>
      </c>
      <c r="C878" t="s">
        <v>34</v>
      </c>
      <c r="D878" t="s">
        <v>24</v>
      </c>
      <c r="E878">
        <v>22</v>
      </c>
      <c r="F878">
        <v>150</v>
      </c>
      <c r="G878">
        <v>3300</v>
      </c>
      <c r="H878">
        <v>0.04</v>
      </c>
      <c r="I878">
        <v>132</v>
      </c>
      <c r="J878" t="s">
        <v>20</v>
      </c>
    </row>
    <row r="879" spans="1:10" x14ac:dyDescent="0.3">
      <c r="A879" t="s">
        <v>909</v>
      </c>
      <c r="B879" s="1">
        <v>43305</v>
      </c>
      <c r="C879" t="s">
        <v>34</v>
      </c>
      <c r="D879" t="s">
        <v>24</v>
      </c>
      <c r="E879">
        <v>11</v>
      </c>
      <c r="F879">
        <v>150</v>
      </c>
      <c r="G879">
        <v>1650</v>
      </c>
      <c r="H879">
        <v>0.05</v>
      </c>
      <c r="I879">
        <v>82.5</v>
      </c>
      <c r="J879" t="s">
        <v>22</v>
      </c>
    </row>
    <row r="880" spans="1:10" x14ac:dyDescent="0.3">
      <c r="A880" t="s">
        <v>910</v>
      </c>
      <c r="B880" s="1">
        <v>43305</v>
      </c>
      <c r="C880" t="s">
        <v>11</v>
      </c>
      <c r="D880" t="s">
        <v>31</v>
      </c>
      <c r="E880">
        <v>9</v>
      </c>
      <c r="F880">
        <v>80</v>
      </c>
      <c r="G880">
        <v>720</v>
      </c>
      <c r="H880">
        <v>0.02</v>
      </c>
      <c r="I880">
        <v>14.4</v>
      </c>
      <c r="J880" t="s">
        <v>25</v>
      </c>
    </row>
    <row r="881" spans="1:10" x14ac:dyDescent="0.3">
      <c r="A881" t="s">
        <v>911</v>
      </c>
      <c r="B881" s="1">
        <v>43305</v>
      </c>
      <c r="C881" t="s">
        <v>11</v>
      </c>
      <c r="D881" t="s">
        <v>31</v>
      </c>
      <c r="E881">
        <v>13</v>
      </c>
      <c r="F881">
        <v>80</v>
      </c>
      <c r="G881">
        <v>1040</v>
      </c>
      <c r="H881">
        <v>0.05</v>
      </c>
      <c r="I881">
        <v>52</v>
      </c>
      <c r="J881" t="s">
        <v>28</v>
      </c>
    </row>
    <row r="882" spans="1:10" x14ac:dyDescent="0.3">
      <c r="A882" t="s">
        <v>912</v>
      </c>
      <c r="B882" s="1">
        <v>43305</v>
      </c>
      <c r="C882" t="s">
        <v>15</v>
      </c>
      <c r="D882" t="s">
        <v>31</v>
      </c>
      <c r="E882">
        <v>20</v>
      </c>
      <c r="F882">
        <v>40</v>
      </c>
      <c r="G882">
        <v>800</v>
      </c>
      <c r="H882">
        <v>0.1</v>
      </c>
      <c r="I882">
        <v>80</v>
      </c>
      <c r="J882" t="s">
        <v>17</v>
      </c>
    </row>
    <row r="883" spans="1:10" x14ac:dyDescent="0.3">
      <c r="A883" t="s">
        <v>913</v>
      </c>
      <c r="B883" s="1">
        <v>43305</v>
      </c>
      <c r="C883" t="s">
        <v>15</v>
      </c>
      <c r="D883" t="s">
        <v>16</v>
      </c>
      <c r="E883">
        <v>15</v>
      </c>
      <c r="F883">
        <v>40</v>
      </c>
      <c r="G883">
        <v>600</v>
      </c>
      <c r="H883">
        <v>0.02</v>
      </c>
      <c r="I883">
        <v>12</v>
      </c>
      <c r="J883" t="s">
        <v>20</v>
      </c>
    </row>
    <row r="884" spans="1:10" x14ac:dyDescent="0.3">
      <c r="A884" t="s">
        <v>914</v>
      </c>
      <c r="B884" s="1">
        <v>43306</v>
      </c>
      <c r="C884" t="s">
        <v>34</v>
      </c>
      <c r="D884" t="s">
        <v>31</v>
      </c>
      <c r="E884">
        <v>15</v>
      </c>
      <c r="F884">
        <v>150</v>
      </c>
      <c r="G884">
        <v>2250</v>
      </c>
      <c r="H884">
        <v>7.0000000000000007E-2</v>
      </c>
      <c r="I884">
        <v>157.5</v>
      </c>
      <c r="J884" t="s">
        <v>22</v>
      </c>
    </row>
    <row r="885" spans="1:10" x14ac:dyDescent="0.3">
      <c r="A885" t="s">
        <v>915</v>
      </c>
      <c r="B885" s="1">
        <v>43306</v>
      </c>
      <c r="C885" t="s">
        <v>11</v>
      </c>
      <c r="D885" t="s">
        <v>31</v>
      </c>
      <c r="E885">
        <v>16</v>
      </c>
      <c r="F885">
        <v>80</v>
      </c>
      <c r="G885">
        <v>1280</v>
      </c>
      <c r="H885">
        <v>0.09</v>
      </c>
      <c r="I885">
        <v>115.2</v>
      </c>
      <c r="J885" t="s">
        <v>25</v>
      </c>
    </row>
    <row r="886" spans="1:10" x14ac:dyDescent="0.3">
      <c r="A886" t="s">
        <v>916</v>
      </c>
      <c r="B886" s="1">
        <v>43306</v>
      </c>
      <c r="C886" t="s">
        <v>19</v>
      </c>
      <c r="D886" t="s">
        <v>12</v>
      </c>
      <c r="E886">
        <v>16</v>
      </c>
      <c r="F886">
        <v>230</v>
      </c>
      <c r="G886">
        <v>3680</v>
      </c>
      <c r="H886">
        <v>7.0000000000000007E-2</v>
      </c>
      <c r="I886">
        <v>257.60000000000002</v>
      </c>
      <c r="J886" t="s">
        <v>28</v>
      </c>
    </row>
    <row r="887" spans="1:10" x14ac:dyDescent="0.3">
      <c r="A887" t="s">
        <v>917</v>
      </c>
      <c r="B887" s="1">
        <v>43306</v>
      </c>
      <c r="C887" t="s">
        <v>11</v>
      </c>
      <c r="D887" t="s">
        <v>16</v>
      </c>
      <c r="E887">
        <v>14</v>
      </c>
      <c r="F887">
        <v>80</v>
      </c>
      <c r="G887">
        <v>1120</v>
      </c>
      <c r="H887">
        <v>0.11</v>
      </c>
      <c r="I887">
        <v>123.2</v>
      </c>
      <c r="J887" t="s">
        <v>32</v>
      </c>
    </row>
    <row r="888" spans="1:10" x14ac:dyDescent="0.3">
      <c r="A888" t="s">
        <v>918</v>
      </c>
      <c r="B888" s="1">
        <v>43306</v>
      </c>
      <c r="C888" t="s">
        <v>11</v>
      </c>
      <c r="D888" t="s">
        <v>31</v>
      </c>
      <c r="E888">
        <v>17</v>
      </c>
      <c r="F888">
        <v>80</v>
      </c>
      <c r="G888">
        <v>1360</v>
      </c>
      <c r="H888">
        <v>7.0000000000000007E-2</v>
      </c>
      <c r="I888">
        <v>95.2</v>
      </c>
      <c r="J888" t="s">
        <v>35</v>
      </c>
    </row>
    <row r="889" spans="1:10" x14ac:dyDescent="0.3">
      <c r="A889" t="s">
        <v>919</v>
      </c>
      <c r="B889" s="1">
        <v>43306</v>
      </c>
      <c r="C889" t="s">
        <v>11</v>
      </c>
      <c r="D889" t="s">
        <v>24</v>
      </c>
      <c r="E889">
        <v>16</v>
      </c>
      <c r="F889">
        <v>80</v>
      </c>
      <c r="G889">
        <v>1280</v>
      </c>
      <c r="H889">
        <v>0.02</v>
      </c>
      <c r="I889">
        <v>25.6</v>
      </c>
      <c r="J889" t="s">
        <v>37</v>
      </c>
    </row>
    <row r="890" spans="1:10" x14ac:dyDescent="0.3">
      <c r="A890" t="s">
        <v>920</v>
      </c>
      <c r="B890" s="1">
        <v>43306</v>
      </c>
      <c r="C890" t="s">
        <v>30</v>
      </c>
      <c r="D890" t="s">
        <v>12</v>
      </c>
      <c r="E890">
        <v>21</v>
      </c>
      <c r="F890">
        <v>16</v>
      </c>
      <c r="G890">
        <v>336</v>
      </c>
      <c r="H890">
        <v>0.09</v>
      </c>
      <c r="I890">
        <v>30.24</v>
      </c>
      <c r="J890" t="s">
        <v>39</v>
      </c>
    </row>
    <row r="891" spans="1:10" x14ac:dyDescent="0.3">
      <c r="A891" t="s">
        <v>921</v>
      </c>
      <c r="B891" s="1">
        <v>43306</v>
      </c>
      <c r="C891" t="s">
        <v>34</v>
      </c>
      <c r="D891" t="s">
        <v>12</v>
      </c>
      <c r="E891">
        <v>9</v>
      </c>
      <c r="F891">
        <v>150</v>
      </c>
      <c r="G891">
        <v>1350</v>
      </c>
      <c r="H891">
        <v>0.1</v>
      </c>
      <c r="I891">
        <v>135</v>
      </c>
      <c r="J891" t="s">
        <v>41</v>
      </c>
    </row>
    <row r="892" spans="1:10" x14ac:dyDescent="0.3">
      <c r="A892" t="s">
        <v>922</v>
      </c>
      <c r="B892" s="1">
        <v>43306</v>
      </c>
      <c r="C892" t="s">
        <v>34</v>
      </c>
      <c r="D892" t="s">
        <v>27</v>
      </c>
      <c r="E892">
        <v>3</v>
      </c>
      <c r="F892">
        <v>150</v>
      </c>
      <c r="G892">
        <v>450</v>
      </c>
      <c r="H892">
        <v>0.01</v>
      </c>
      <c r="I892">
        <v>4.5</v>
      </c>
      <c r="J892" t="s">
        <v>43</v>
      </c>
    </row>
    <row r="893" spans="1:10" x14ac:dyDescent="0.3">
      <c r="A893" t="s">
        <v>923</v>
      </c>
      <c r="B893" s="1">
        <v>43307</v>
      </c>
      <c r="C893" t="s">
        <v>11</v>
      </c>
      <c r="D893" t="s">
        <v>16</v>
      </c>
      <c r="E893">
        <v>14</v>
      </c>
      <c r="F893">
        <v>80</v>
      </c>
      <c r="G893">
        <v>1120</v>
      </c>
      <c r="H893">
        <v>0.06</v>
      </c>
      <c r="I893">
        <v>67.2</v>
      </c>
      <c r="J893" t="s">
        <v>13</v>
      </c>
    </row>
    <row r="894" spans="1:10" x14ac:dyDescent="0.3">
      <c r="A894" t="s">
        <v>924</v>
      </c>
      <c r="B894" s="1">
        <v>43307</v>
      </c>
      <c r="C894" t="s">
        <v>34</v>
      </c>
      <c r="D894" t="s">
        <v>31</v>
      </c>
      <c r="E894">
        <v>4</v>
      </c>
      <c r="F894">
        <v>150</v>
      </c>
      <c r="G894">
        <v>600</v>
      </c>
      <c r="H894">
        <v>0.05</v>
      </c>
      <c r="I894">
        <v>30</v>
      </c>
      <c r="J894" t="s">
        <v>17</v>
      </c>
    </row>
    <row r="895" spans="1:10" x14ac:dyDescent="0.3">
      <c r="A895" t="s">
        <v>925</v>
      </c>
      <c r="B895" s="1">
        <v>43307</v>
      </c>
      <c r="C895" t="s">
        <v>30</v>
      </c>
      <c r="D895" t="s">
        <v>16</v>
      </c>
      <c r="E895">
        <v>20</v>
      </c>
      <c r="F895">
        <v>16</v>
      </c>
      <c r="G895">
        <v>320</v>
      </c>
      <c r="H895">
        <v>0.06</v>
      </c>
      <c r="I895">
        <v>19.2</v>
      </c>
      <c r="J895" t="s">
        <v>20</v>
      </c>
    </row>
    <row r="896" spans="1:10" x14ac:dyDescent="0.3">
      <c r="A896" t="s">
        <v>926</v>
      </c>
      <c r="B896" s="1">
        <v>43307</v>
      </c>
      <c r="C896" t="s">
        <v>19</v>
      </c>
      <c r="D896" t="s">
        <v>24</v>
      </c>
      <c r="E896">
        <v>7</v>
      </c>
      <c r="F896">
        <v>230</v>
      </c>
      <c r="G896">
        <v>1610</v>
      </c>
      <c r="H896">
        <v>0.01</v>
      </c>
      <c r="I896">
        <v>16.100000000000001</v>
      </c>
      <c r="J896" t="s">
        <v>22</v>
      </c>
    </row>
    <row r="897" spans="1:10" x14ac:dyDescent="0.3">
      <c r="A897" t="s">
        <v>927</v>
      </c>
      <c r="B897" s="1">
        <v>43307</v>
      </c>
      <c r="C897" t="s">
        <v>11</v>
      </c>
      <c r="D897" t="s">
        <v>16</v>
      </c>
      <c r="E897">
        <v>9</v>
      </c>
      <c r="F897">
        <v>80</v>
      </c>
      <c r="G897">
        <v>720</v>
      </c>
      <c r="H897">
        <v>0.03</v>
      </c>
      <c r="I897">
        <v>21.6</v>
      </c>
      <c r="J897" t="s">
        <v>25</v>
      </c>
    </row>
    <row r="898" spans="1:10" x14ac:dyDescent="0.3">
      <c r="A898" t="s">
        <v>928</v>
      </c>
      <c r="B898" s="1">
        <v>43307</v>
      </c>
      <c r="C898" t="s">
        <v>15</v>
      </c>
      <c r="D898" t="s">
        <v>27</v>
      </c>
      <c r="E898">
        <v>4</v>
      </c>
      <c r="F898">
        <v>40</v>
      </c>
      <c r="G898">
        <v>160</v>
      </c>
      <c r="H898">
        <v>0.05</v>
      </c>
      <c r="I898">
        <v>8</v>
      </c>
      <c r="J898" t="s">
        <v>28</v>
      </c>
    </row>
    <row r="899" spans="1:10" x14ac:dyDescent="0.3">
      <c r="A899" t="s">
        <v>929</v>
      </c>
      <c r="B899" s="1">
        <v>43307</v>
      </c>
      <c r="C899" t="s">
        <v>11</v>
      </c>
      <c r="D899" t="s">
        <v>12</v>
      </c>
      <c r="E899">
        <v>6</v>
      </c>
      <c r="F899">
        <v>80</v>
      </c>
      <c r="G899">
        <v>480</v>
      </c>
      <c r="H899">
        <v>7.0000000000000007E-2</v>
      </c>
      <c r="I899">
        <v>33.6</v>
      </c>
      <c r="J899" t="s">
        <v>17</v>
      </c>
    </row>
    <row r="900" spans="1:10" x14ac:dyDescent="0.3">
      <c r="A900" t="s">
        <v>930</v>
      </c>
      <c r="B900" s="1">
        <v>43307</v>
      </c>
      <c r="C900" t="s">
        <v>30</v>
      </c>
      <c r="D900" t="s">
        <v>24</v>
      </c>
      <c r="E900">
        <v>8</v>
      </c>
      <c r="F900">
        <v>16</v>
      </c>
      <c r="G900">
        <v>128</v>
      </c>
      <c r="H900">
        <v>0.03</v>
      </c>
      <c r="I900">
        <v>3.84</v>
      </c>
      <c r="J900" t="s">
        <v>20</v>
      </c>
    </row>
    <row r="901" spans="1:10" x14ac:dyDescent="0.3">
      <c r="A901" t="s">
        <v>931</v>
      </c>
      <c r="B901" s="1">
        <v>43307</v>
      </c>
      <c r="C901" t="s">
        <v>30</v>
      </c>
      <c r="D901" t="s">
        <v>12</v>
      </c>
      <c r="E901">
        <v>10</v>
      </c>
      <c r="F901">
        <v>16</v>
      </c>
      <c r="G901">
        <v>160</v>
      </c>
      <c r="H901">
        <v>0.08</v>
      </c>
      <c r="I901">
        <v>12.8</v>
      </c>
      <c r="J901" t="s">
        <v>22</v>
      </c>
    </row>
    <row r="902" spans="1:10" x14ac:dyDescent="0.3">
      <c r="A902" t="s">
        <v>932</v>
      </c>
      <c r="B902" s="1">
        <v>43307</v>
      </c>
      <c r="C902" t="s">
        <v>30</v>
      </c>
      <c r="D902" t="s">
        <v>27</v>
      </c>
      <c r="E902">
        <v>22</v>
      </c>
      <c r="F902">
        <v>16</v>
      </c>
      <c r="G902">
        <v>352</v>
      </c>
      <c r="H902">
        <v>0.03</v>
      </c>
      <c r="I902">
        <v>10.56</v>
      </c>
      <c r="J902" t="s">
        <v>25</v>
      </c>
    </row>
    <row r="903" spans="1:10" x14ac:dyDescent="0.3">
      <c r="A903" t="s">
        <v>933</v>
      </c>
      <c r="B903" s="1">
        <v>43307</v>
      </c>
      <c r="C903" t="s">
        <v>11</v>
      </c>
      <c r="D903" t="s">
        <v>27</v>
      </c>
      <c r="E903">
        <v>11</v>
      </c>
      <c r="F903">
        <v>80</v>
      </c>
      <c r="G903">
        <v>880</v>
      </c>
      <c r="H903">
        <v>0.01</v>
      </c>
      <c r="I903">
        <v>8.8000000000000007</v>
      </c>
      <c r="J903" t="s">
        <v>28</v>
      </c>
    </row>
    <row r="904" spans="1:10" x14ac:dyDescent="0.3">
      <c r="A904" t="s">
        <v>934</v>
      </c>
      <c r="B904" s="1">
        <v>43307</v>
      </c>
      <c r="C904" t="s">
        <v>30</v>
      </c>
      <c r="D904" t="s">
        <v>27</v>
      </c>
      <c r="E904">
        <v>7</v>
      </c>
      <c r="F904">
        <v>16</v>
      </c>
      <c r="G904">
        <v>112</v>
      </c>
      <c r="H904">
        <v>0.08</v>
      </c>
      <c r="I904">
        <v>8.9600000000000009</v>
      </c>
      <c r="J904" t="s">
        <v>32</v>
      </c>
    </row>
    <row r="905" spans="1:10" x14ac:dyDescent="0.3">
      <c r="A905" t="s">
        <v>935</v>
      </c>
      <c r="B905" s="1">
        <v>43308</v>
      </c>
      <c r="C905" t="s">
        <v>30</v>
      </c>
      <c r="D905" t="s">
        <v>24</v>
      </c>
      <c r="E905">
        <v>11</v>
      </c>
      <c r="F905">
        <v>16</v>
      </c>
      <c r="G905">
        <v>176</v>
      </c>
      <c r="H905">
        <v>0.12</v>
      </c>
      <c r="I905">
        <v>21.12</v>
      </c>
      <c r="J905" t="s">
        <v>35</v>
      </c>
    </row>
    <row r="906" spans="1:10" x14ac:dyDescent="0.3">
      <c r="A906" t="s">
        <v>936</v>
      </c>
      <c r="B906" s="1">
        <v>43308</v>
      </c>
      <c r="C906" t="s">
        <v>15</v>
      </c>
      <c r="D906" t="s">
        <v>31</v>
      </c>
      <c r="E906">
        <v>7</v>
      </c>
      <c r="F906">
        <v>40</v>
      </c>
      <c r="G906">
        <v>280</v>
      </c>
      <c r="H906">
        <v>0.05</v>
      </c>
      <c r="I906">
        <v>14</v>
      </c>
      <c r="J906" t="s">
        <v>37</v>
      </c>
    </row>
    <row r="907" spans="1:10" x14ac:dyDescent="0.3">
      <c r="A907" t="s">
        <v>937</v>
      </c>
      <c r="B907" s="1">
        <v>43308</v>
      </c>
      <c r="C907" t="s">
        <v>34</v>
      </c>
      <c r="D907" t="s">
        <v>24</v>
      </c>
      <c r="E907">
        <v>9</v>
      </c>
      <c r="F907">
        <v>150</v>
      </c>
      <c r="G907">
        <v>1350</v>
      </c>
      <c r="H907">
        <v>0.06</v>
      </c>
      <c r="I907">
        <v>81</v>
      </c>
      <c r="J907" t="s">
        <v>39</v>
      </c>
    </row>
    <row r="908" spans="1:10" x14ac:dyDescent="0.3">
      <c r="A908" t="s">
        <v>938</v>
      </c>
      <c r="B908" s="1">
        <v>43308</v>
      </c>
      <c r="C908" t="s">
        <v>19</v>
      </c>
      <c r="D908" t="s">
        <v>12</v>
      </c>
      <c r="E908">
        <v>20</v>
      </c>
      <c r="F908">
        <v>230</v>
      </c>
      <c r="G908">
        <v>4600</v>
      </c>
      <c r="H908">
        <v>0.04</v>
      </c>
      <c r="I908">
        <v>184</v>
      </c>
      <c r="J908" t="s">
        <v>41</v>
      </c>
    </row>
    <row r="909" spans="1:10" x14ac:dyDescent="0.3">
      <c r="A909" t="s">
        <v>939</v>
      </c>
      <c r="B909" s="1">
        <v>43308</v>
      </c>
      <c r="C909" t="s">
        <v>34</v>
      </c>
      <c r="D909" t="s">
        <v>24</v>
      </c>
      <c r="E909">
        <v>9</v>
      </c>
      <c r="F909">
        <v>150</v>
      </c>
      <c r="G909">
        <v>1350</v>
      </c>
      <c r="H909">
        <v>0.02</v>
      </c>
      <c r="I909">
        <v>27</v>
      </c>
      <c r="J909" t="s">
        <v>43</v>
      </c>
    </row>
    <row r="910" spans="1:10" x14ac:dyDescent="0.3">
      <c r="A910" t="s">
        <v>940</v>
      </c>
      <c r="B910" s="1">
        <v>43308</v>
      </c>
      <c r="C910" t="s">
        <v>11</v>
      </c>
      <c r="D910" t="s">
        <v>16</v>
      </c>
      <c r="E910">
        <v>5</v>
      </c>
      <c r="F910">
        <v>80</v>
      </c>
      <c r="G910">
        <v>400</v>
      </c>
      <c r="H910">
        <v>7.0000000000000007E-2</v>
      </c>
      <c r="I910">
        <v>28</v>
      </c>
      <c r="J910" t="s">
        <v>13</v>
      </c>
    </row>
    <row r="911" spans="1:10" x14ac:dyDescent="0.3">
      <c r="A911" t="s">
        <v>941</v>
      </c>
      <c r="B911" s="1">
        <v>43308</v>
      </c>
      <c r="C911" t="s">
        <v>34</v>
      </c>
      <c r="D911" t="s">
        <v>24</v>
      </c>
      <c r="E911">
        <v>20</v>
      </c>
      <c r="F911">
        <v>150</v>
      </c>
      <c r="G911">
        <v>3000</v>
      </c>
      <c r="H911">
        <v>0.04</v>
      </c>
      <c r="I911">
        <v>120</v>
      </c>
      <c r="J911" t="s">
        <v>17</v>
      </c>
    </row>
    <row r="912" spans="1:10" x14ac:dyDescent="0.3">
      <c r="A912" t="s">
        <v>942</v>
      </c>
      <c r="B912" s="1">
        <v>43308</v>
      </c>
      <c r="C912" t="s">
        <v>34</v>
      </c>
      <c r="D912" t="s">
        <v>27</v>
      </c>
      <c r="E912">
        <v>15</v>
      </c>
      <c r="F912">
        <v>150</v>
      </c>
      <c r="G912">
        <v>2250</v>
      </c>
      <c r="H912">
        <v>0.05</v>
      </c>
      <c r="I912">
        <v>112.5</v>
      </c>
      <c r="J912" t="s">
        <v>20</v>
      </c>
    </row>
    <row r="913" spans="1:10" x14ac:dyDescent="0.3">
      <c r="A913" t="s">
        <v>943</v>
      </c>
      <c r="B913" s="1">
        <v>43308</v>
      </c>
      <c r="C913" t="s">
        <v>11</v>
      </c>
      <c r="D913" t="s">
        <v>12</v>
      </c>
      <c r="E913">
        <v>20</v>
      </c>
      <c r="F913">
        <v>80</v>
      </c>
      <c r="G913">
        <v>1600</v>
      </c>
      <c r="H913">
        <v>0.01</v>
      </c>
      <c r="I913">
        <v>16</v>
      </c>
      <c r="J913" t="s">
        <v>22</v>
      </c>
    </row>
    <row r="914" spans="1:10" x14ac:dyDescent="0.3">
      <c r="A914" t="s">
        <v>944</v>
      </c>
      <c r="B914" s="1">
        <v>43309</v>
      </c>
      <c r="C914" t="s">
        <v>19</v>
      </c>
      <c r="D914" t="s">
        <v>16</v>
      </c>
      <c r="E914">
        <v>12</v>
      </c>
      <c r="F914">
        <v>230</v>
      </c>
      <c r="G914">
        <v>2760</v>
      </c>
      <c r="H914">
        <v>0.03</v>
      </c>
      <c r="I914">
        <v>82.8</v>
      </c>
      <c r="J914" t="s">
        <v>25</v>
      </c>
    </row>
    <row r="915" spans="1:10" x14ac:dyDescent="0.3">
      <c r="A915" t="s">
        <v>945</v>
      </c>
      <c r="B915" s="1">
        <v>43309</v>
      </c>
      <c r="C915" t="s">
        <v>15</v>
      </c>
      <c r="D915" t="s">
        <v>31</v>
      </c>
      <c r="E915">
        <v>20</v>
      </c>
      <c r="F915">
        <v>40</v>
      </c>
      <c r="G915">
        <v>800</v>
      </c>
      <c r="H915">
        <v>0.05</v>
      </c>
      <c r="I915">
        <v>40</v>
      </c>
      <c r="J915" t="s">
        <v>28</v>
      </c>
    </row>
    <row r="916" spans="1:10" x14ac:dyDescent="0.3">
      <c r="A916" t="s">
        <v>946</v>
      </c>
      <c r="B916" s="1">
        <v>43309</v>
      </c>
      <c r="C916" t="s">
        <v>15</v>
      </c>
      <c r="D916" t="s">
        <v>31</v>
      </c>
      <c r="E916">
        <v>4</v>
      </c>
      <c r="F916">
        <v>40</v>
      </c>
      <c r="G916">
        <v>160</v>
      </c>
      <c r="H916">
        <v>0.09</v>
      </c>
      <c r="I916">
        <v>14.4</v>
      </c>
      <c r="J916" t="s">
        <v>17</v>
      </c>
    </row>
    <row r="917" spans="1:10" x14ac:dyDescent="0.3">
      <c r="A917" t="s">
        <v>947</v>
      </c>
      <c r="B917" s="1">
        <v>43309</v>
      </c>
      <c r="C917" t="s">
        <v>30</v>
      </c>
      <c r="D917" t="s">
        <v>24</v>
      </c>
      <c r="E917">
        <v>6</v>
      </c>
      <c r="F917">
        <v>16</v>
      </c>
      <c r="G917">
        <v>96</v>
      </c>
      <c r="H917">
        <v>7.0000000000000007E-2</v>
      </c>
      <c r="I917">
        <v>6.72</v>
      </c>
      <c r="J917" t="s">
        <v>20</v>
      </c>
    </row>
    <row r="918" spans="1:10" x14ac:dyDescent="0.3">
      <c r="A918" t="s">
        <v>948</v>
      </c>
      <c r="B918" s="1">
        <v>43309</v>
      </c>
      <c r="C918" t="s">
        <v>11</v>
      </c>
      <c r="D918" t="s">
        <v>16</v>
      </c>
      <c r="E918">
        <v>13</v>
      </c>
      <c r="F918">
        <v>80</v>
      </c>
      <c r="G918">
        <v>1040</v>
      </c>
      <c r="H918">
        <v>0.06</v>
      </c>
      <c r="I918">
        <v>62.4</v>
      </c>
      <c r="J918" t="s">
        <v>22</v>
      </c>
    </row>
    <row r="919" spans="1:10" x14ac:dyDescent="0.3">
      <c r="A919" t="s">
        <v>949</v>
      </c>
      <c r="B919" s="1">
        <v>43309</v>
      </c>
      <c r="C919" t="s">
        <v>34</v>
      </c>
      <c r="D919" t="s">
        <v>12</v>
      </c>
      <c r="E919">
        <v>4</v>
      </c>
      <c r="F919">
        <v>150</v>
      </c>
      <c r="G919">
        <v>600</v>
      </c>
      <c r="H919">
        <v>0.1</v>
      </c>
      <c r="I919">
        <v>60</v>
      </c>
      <c r="J919" t="s">
        <v>25</v>
      </c>
    </row>
    <row r="920" spans="1:10" x14ac:dyDescent="0.3">
      <c r="A920" t="s">
        <v>950</v>
      </c>
      <c r="B920" s="1">
        <v>43309</v>
      </c>
      <c r="C920" t="s">
        <v>34</v>
      </c>
      <c r="D920" t="s">
        <v>27</v>
      </c>
      <c r="E920">
        <v>9</v>
      </c>
      <c r="F920">
        <v>150</v>
      </c>
      <c r="G920">
        <v>1350</v>
      </c>
      <c r="H920">
        <v>0.02</v>
      </c>
      <c r="I920">
        <v>27</v>
      </c>
      <c r="J920" t="s">
        <v>28</v>
      </c>
    </row>
    <row r="921" spans="1:10" x14ac:dyDescent="0.3">
      <c r="A921" t="s">
        <v>951</v>
      </c>
      <c r="B921" s="1">
        <v>43309</v>
      </c>
      <c r="C921" t="s">
        <v>34</v>
      </c>
      <c r="D921" t="s">
        <v>12</v>
      </c>
      <c r="E921">
        <v>11</v>
      </c>
      <c r="F921">
        <v>150</v>
      </c>
      <c r="G921">
        <v>1650</v>
      </c>
      <c r="H921">
        <v>0.05</v>
      </c>
      <c r="I921">
        <v>82.5</v>
      </c>
      <c r="J921" t="s">
        <v>32</v>
      </c>
    </row>
    <row r="922" spans="1:10" x14ac:dyDescent="0.3">
      <c r="A922" t="s">
        <v>952</v>
      </c>
      <c r="B922" s="1">
        <v>43309</v>
      </c>
      <c r="C922" t="s">
        <v>30</v>
      </c>
      <c r="D922" t="s">
        <v>24</v>
      </c>
      <c r="E922">
        <v>6</v>
      </c>
      <c r="F922">
        <v>16</v>
      </c>
      <c r="G922">
        <v>96</v>
      </c>
      <c r="H922">
        <v>0.06</v>
      </c>
      <c r="I922">
        <v>5.76</v>
      </c>
      <c r="J922" t="s">
        <v>35</v>
      </c>
    </row>
    <row r="923" spans="1:10" x14ac:dyDescent="0.3">
      <c r="A923" t="s">
        <v>953</v>
      </c>
      <c r="B923" s="1">
        <v>43310</v>
      </c>
      <c r="C923" t="s">
        <v>19</v>
      </c>
      <c r="D923" t="s">
        <v>24</v>
      </c>
      <c r="E923">
        <v>14</v>
      </c>
      <c r="F923">
        <v>230</v>
      </c>
      <c r="G923">
        <v>3220</v>
      </c>
      <c r="H923">
        <v>0.12</v>
      </c>
      <c r="I923">
        <v>386.4</v>
      </c>
      <c r="J923" t="s">
        <v>37</v>
      </c>
    </row>
    <row r="924" spans="1:10" x14ac:dyDescent="0.3">
      <c r="A924" t="s">
        <v>954</v>
      </c>
      <c r="B924" s="1">
        <v>43310</v>
      </c>
      <c r="C924" t="s">
        <v>11</v>
      </c>
      <c r="D924" t="s">
        <v>16</v>
      </c>
      <c r="E924">
        <v>15</v>
      </c>
      <c r="F924">
        <v>80</v>
      </c>
      <c r="G924">
        <v>1200</v>
      </c>
      <c r="H924">
        <v>0.12</v>
      </c>
      <c r="I924">
        <v>144</v>
      </c>
      <c r="J924" t="s">
        <v>39</v>
      </c>
    </row>
    <row r="925" spans="1:10" x14ac:dyDescent="0.3">
      <c r="A925" t="s">
        <v>955</v>
      </c>
      <c r="B925" s="1">
        <v>43310</v>
      </c>
      <c r="C925" t="s">
        <v>19</v>
      </c>
      <c r="D925" t="s">
        <v>27</v>
      </c>
      <c r="E925">
        <v>17</v>
      </c>
      <c r="F925">
        <v>230</v>
      </c>
      <c r="G925">
        <v>3910</v>
      </c>
      <c r="H925">
        <v>0.12</v>
      </c>
      <c r="I925">
        <v>469.2</v>
      </c>
      <c r="J925" t="s">
        <v>41</v>
      </c>
    </row>
    <row r="926" spans="1:10" x14ac:dyDescent="0.3">
      <c r="A926" t="s">
        <v>956</v>
      </c>
      <c r="B926" s="1">
        <v>43310</v>
      </c>
      <c r="C926" t="s">
        <v>34</v>
      </c>
      <c r="D926" t="s">
        <v>12</v>
      </c>
      <c r="E926">
        <v>5</v>
      </c>
      <c r="F926">
        <v>150</v>
      </c>
      <c r="G926">
        <v>750</v>
      </c>
      <c r="H926">
        <v>0.11</v>
      </c>
      <c r="I926">
        <v>82.5</v>
      </c>
      <c r="J926" t="s">
        <v>43</v>
      </c>
    </row>
    <row r="927" spans="1:10" x14ac:dyDescent="0.3">
      <c r="A927" t="s">
        <v>957</v>
      </c>
      <c r="B927" s="1">
        <v>43310</v>
      </c>
      <c r="C927" t="s">
        <v>11</v>
      </c>
      <c r="D927" t="s">
        <v>31</v>
      </c>
      <c r="E927">
        <v>10</v>
      </c>
      <c r="F927">
        <v>80</v>
      </c>
      <c r="G927">
        <v>800</v>
      </c>
      <c r="H927">
        <v>0.06</v>
      </c>
      <c r="I927">
        <v>48</v>
      </c>
      <c r="J927" t="s">
        <v>13</v>
      </c>
    </row>
    <row r="928" spans="1:10" x14ac:dyDescent="0.3">
      <c r="A928" t="s">
        <v>958</v>
      </c>
      <c r="B928" s="1">
        <v>43310</v>
      </c>
      <c r="C928" t="s">
        <v>11</v>
      </c>
      <c r="D928" t="s">
        <v>12</v>
      </c>
      <c r="E928">
        <v>9</v>
      </c>
      <c r="F928">
        <v>80</v>
      </c>
      <c r="G928">
        <v>720</v>
      </c>
      <c r="H928">
        <v>0.04</v>
      </c>
      <c r="I928">
        <v>28.8</v>
      </c>
      <c r="J928" t="s">
        <v>17</v>
      </c>
    </row>
    <row r="929" spans="1:10" x14ac:dyDescent="0.3">
      <c r="A929" t="s">
        <v>959</v>
      </c>
      <c r="B929" s="1">
        <v>43310</v>
      </c>
      <c r="C929" t="s">
        <v>15</v>
      </c>
      <c r="D929" t="s">
        <v>31</v>
      </c>
      <c r="E929">
        <v>16</v>
      </c>
      <c r="F929">
        <v>40</v>
      </c>
      <c r="G929">
        <v>640</v>
      </c>
      <c r="H929">
        <v>0.09</v>
      </c>
      <c r="I929">
        <v>57.6</v>
      </c>
      <c r="J929" t="s">
        <v>20</v>
      </c>
    </row>
    <row r="930" spans="1:10" x14ac:dyDescent="0.3">
      <c r="A930" t="s">
        <v>960</v>
      </c>
      <c r="B930" s="1">
        <v>43310</v>
      </c>
      <c r="C930" t="s">
        <v>19</v>
      </c>
      <c r="D930" t="s">
        <v>12</v>
      </c>
      <c r="E930">
        <v>7</v>
      </c>
      <c r="F930">
        <v>230</v>
      </c>
      <c r="G930">
        <v>1610</v>
      </c>
      <c r="H930">
        <v>0.08</v>
      </c>
      <c r="I930">
        <v>128.80000000000001</v>
      </c>
      <c r="J930" t="s">
        <v>22</v>
      </c>
    </row>
    <row r="931" spans="1:10" x14ac:dyDescent="0.3">
      <c r="A931" t="s">
        <v>961</v>
      </c>
      <c r="B931" s="1">
        <v>43310</v>
      </c>
      <c r="C931" t="s">
        <v>11</v>
      </c>
      <c r="D931" t="s">
        <v>27</v>
      </c>
      <c r="E931">
        <v>17</v>
      </c>
      <c r="F931">
        <v>80</v>
      </c>
      <c r="G931">
        <v>1360</v>
      </c>
      <c r="H931">
        <v>0.05</v>
      </c>
      <c r="I931">
        <v>68</v>
      </c>
      <c r="J931" t="s">
        <v>25</v>
      </c>
    </row>
    <row r="932" spans="1:10" x14ac:dyDescent="0.3">
      <c r="A932" t="s">
        <v>962</v>
      </c>
      <c r="B932" s="1">
        <v>43310</v>
      </c>
      <c r="C932" t="s">
        <v>19</v>
      </c>
      <c r="D932" t="s">
        <v>12</v>
      </c>
      <c r="E932">
        <v>11</v>
      </c>
      <c r="F932">
        <v>230</v>
      </c>
      <c r="G932">
        <v>2530</v>
      </c>
      <c r="H932">
        <v>0.02</v>
      </c>
      <c r="I932">
        <v>50.6</v>
      </c>
      <c r="J932" t="s">
        <v>28</v>
      </c>
    </row>
    <row r="933" spans="1:10" x14ac:dyDescent="0.3">
      <c r="A933" t="s">
        <v>963</v>
      </c>
      <c r="B933" s="1">
        <v>43311</v>
      </c>
      <c r="C933" t="s">
        <v>15</v>
      </c>
      <c r="D933" t="s">
        <v>12</v>
      </c>
      <c r="E933">
        <v>15</v>
      </c>
      <c r="F933">
        <v>40</v>
      </c>
      <c r="G933">
        <v>600</v>
      </c>
      <c r="H933">
        <v>0.06</v>
      </c>
      <c r="I933">
        <v>36</v>
      </c>
      <c r="J933" t="s">
        <v>17</v>
      </c>
    </row>
    <row r="934" spans="1:10" x14ac:dyDescent="0.3">
      <c r="A934" t="s">
        <v>964</v>
      </c>
      <c r="B934" s="1">
        <v>43312</v>
      </c>
      <c r="C934" t="s">
        <v>19</v>
      </c>
      <c r="D934" t="s">
        <v>12</v>
      </c>
      <c r="E934">
        <v>7</v>
      </c>
      <c r="F934">
        <v>230</v>
      </c>
      <c r="G934">
        <v>1610</v>
      </c>
      <c r="H934">
        <v>0.02</v>
      </c>
      <c r="I934">
        <v>32.200000000000003</v>
      </c>
      <c r="J934" t="s">
        <v>20</v>
      </c>
    </row>
    <row r="935" spans="1:10" x14ac:dyDescent="0.3">
      <c r="A935" t="s">
        <v>965</v>
      </c>
      <c r="B935" s="1">
        <v>43312</v>
      </c>
      <c r="C935" t="s">
        <v>11</v>
      </c>
      <c r="D935" t="s">
        <v>24</v>
      </c>
      <c r="E935">
        <v>20</v>
      </c>
      <c r="F935">
        <v>80</v>
      </c>
      <c r="G935">
        <v>1600</v>
      </c>
      <c r="H935">
        <v>7.0000000000000007E-2</v>
      </c>
      <c r="I935">
        <v>112</v>
      </c>
      <c r="J935" t="s">
        <v>22</v>
      </c>
    </row>
    <row r="936" spans="1:10" x14ac:dyDescent="0.3">
      <c r="A936" t="s">
        <v>966</v>
      </c>
      <c r="B936" s="1">
        <v>43312</v>
      </c>
      <c r="C936" t="s">
        <v>11</v>
      </c>
      <c r="D936" t="s">
        <v>16</v>
      </c>
      <c r="E936">
        <v>3</v>
      </c>
      <c r="F936">
        <v>80</v>
      </c>
      <c r="G936">
        <v>240</v>
      </c>
      <c r="H936">
        <v>0.02</v>
      </c>
      <c r="I936">
        <v>4.8</v>
      </c>
      <c r="J936" t="s">
        <v>25</v>
      </c>
    </row>
    <row r="937" spans="1:10" x14ac:dyDescent="0.3">
      <c r="A937" t="s">
        <v>967</v>
      </c>
      <c r="B937" s="1">
        <v>43312</v>
      </c>
      <c r="C937" t="s">
        <v>34</v>
      </c>
      <c r="D937" t="s">
        <v>24</v>
      </c>
      <c r="E937">
        <v>2</v>
      </c>
      <c r="F937">
        <v>150</v>
      </c>
      <c r="G937">
        <v>300</v>
      </c>
      <c r="H937">
        <v>0.02</v>
      </c>
      <c r="I937">
        <v>6</v>
      </c>
      <c r="J937" t="s">
        <v>28</v>
      </c>
    </row>
    <row r="938" spans="1:10" x14ac:dyDescent="0.3">
      <c r="A938" t="s">
        <v>968</v>
      </c>
      <c r="B938" s="1">
        <v>43312</v>
      </c>
      <c r="C938" t="s">
        <v>34</v>
      </c>
      <c r="D938" t="s">
        <v>24</v>
      </c>
      <c r="E938">
        <v>22</v>
      </c>
      <c r="F938">
        <v>150</v>
      </c>
      <c r="G938">
        <v>3300</v>
      </c>
      <c r="H938">
        <v>0.09</v>
      </c>
      <c r="I938">
        <v>297</v>
      </c>
      <c r="J938" t="s">
        <v>32</v>
      </c>
    </row>
    <row r="939" spans="1:10" x14ac:dyDescent="0.3">
      <c r="A939" t="s">
        <v>969</v>
      </c>
      <c r="B939" s="1">
        <v>43312</v>
      </c>
      <c r="C939" t="s">
        <v>19</v>
      </c>
      <c r="D939" t="s">
        <v>12</v>
      </c>
      <c r="E939">
        <v>5</v>
      </c>
      <c r="F939">
        <v>230</v>
      </c>
      <c r="G939">
        <v>1150</v>
      </c>
      <c r="H939">
        <v>0.1</v>
      </c>
      <c r="I939">
        <v>115</v>
      </c>
      <c r="J939" t="s">
        <v>35</v>
      </c>
    </row>
    <row r="940" spans="1:10" x14ac:dyDescent="0.3">
      <c r="A940" t="s">
        <v>970</v>
      </c>
      <c r="B940" s="1">
        <v>43312</v>
      </c>
      <c r="C940" t="s">
        <v>30</v>
      </c>
      <c r="D940" t="s">
        <v>31</v>
      </c>
      <c r="E940">
        <v>12</v>
      </c>
      <c r="F940">
        <v>16</v>
      </c>
      <c r="G940">
        <v>192</v>
      </c>
      <c r="H940">
        <v>0.04</v>
      </c>
      <c r="I940">
        <v>7.68</v>
      </c>
      <c r="J940" t="s">
        <v>37</v>
      </c>
    </row>
    <row r="941" spans="1:10" x14ac:dyDescent="0.3">
      <c r="A941" t="s">
        <v>971</v>
      </c>
      <c r="B941" s="1">
        <v>43312</v>
      </c>
      <c r="C941" t="s">
        <v>15</v>
      </c>
      <c r="D941" t="s">
        <v>27</v>
      </c>
      <c r="E941">
        <v>6</v>
      </c>
      <c r="F941">
        <v>40</v>
      </c>
      <c r="G941">
        <v>240</v>
      </c>
      <c r="H941">
        <v>7.0000000000000007E-2</v>
      </c>
      <c r="I941">
        <v>16.8</v>
      </c>
      <c r="J941" t="s">
        <v>39</v>
      </c>
    </row>
    <row r="942" spans="1:10" x14ac:dyDescent="0.3">
      <c r="A942" t="s">
        <v>972</v>
      </c>
      <c r="B942" s="1">
        <v>43312</v>
      </c>
      <c r="C942" t="s">
        <v>30</v>
      </c>
      <c r="D942" t="s">
        <v>31</v>
      </c>
      <c r="E942">
        <v>15</v>
      </c>
      <c r="F942">
        <v>16</v>
      </c>
      <c r="G942">
        <v>240</v>
      </c>
      <c r="H942">
        <v>0.01</v>
      </c>
      <c r="I942">
        <v>2.4</v>
      </c>
      <c r="J942" t="s">
        <v>41</v>
      </c>
    </row>
    <row r="943" spans="1:10" x14ac:dyDescent="0.3">
      <c r="A943" t="s">
        <v>973</v>
      </c>
      <c r="B943" s="1">
        <v>43282</v>
      </c>
      <c r="C943" t="s">
        <v>34</v>
      </c>
      <c r="D943" t="s">
        <v>31</v>
      </c>
      <c r="E943">
        <v>13</v>
      </c>
      <c r="F943">
        <v>150</v>
      </c>
      <c r="G943">
        <v>1950</v>
      </c>
      <c r="H943">
        <v>0.11</v>
      </c>
      <c r="I943">
        <v>214.5</v>
      </c>
      <c r="J943" t="s">
        <v>43</v>
      </c>
    </row>
    <row r="944" spans="1:10" x14ac:dyDescent="0.3">
      <c r="A944" t="s">
        <v>974</v>
      </c>
      <c r="B944" s="1">
        <v>43282</v>
      </c>
      <c r="C944" t="s">
        <v>15</v>
      </c>
      <c r="D944" t="s">
        <v>16</v>
      </c>
      <c r="E944">
        <v>8</v>
      </c>
      <c r="F944">
        <v>40</v>
      </c>
      <c r="G944">
        <v>320</v>
      </c>
      <c r="H944">
        <v>0.09</v>
      </c>
      <c r="I944">
        <v>28.8</v>
      </c>
      <c r="J944" t="s">
        <v>13</v>
      </c>
    </row>
    <row r="945" spans="1:10" x14ac:dyDescent="0.3">
      <c r="A945" t="s">
        <v>975</v>
      </c>
      <c r="B945" s="1">
        <v>43282</v>
      </c>
      <c r="C945" t="s">
        <v>15</v>
      </c>
      <c r="D945" t="s">
        <v>27</v>
      </c>
      <c r="E945">
        <v>7</v>
      </c>
      <c r="F945">
        <v>40</v>
      </c>
      <c r="G945">
        <v>280</v>
      </c>
      <c r="H945">
        <v>7.0000000000000007E-2</v>
      </c>
      <c r="I945">
        <v>19.600000000000001</v>
      </c>
      <c r="J945" t="s">
        <v>17</v>
      </c>
    </row>
    <row r="946" spans="1:10" x14ac:dyDescent="0.3">
      <c r="A946" t="s">
        <v>976</v>
      </c>
      <c r="B946" s="1">
        <v>43282</v>
      </c>
      <c r="C946" t="s">
        <v>15</v>
      </c>
      <c r="D946" t="s">
        <v>16</v>
      </c>
      <c r="E946">
        <v>18</v>
      </c>
      <c r="F946">
        <v>40</v>
      </c>
      <c r="G946">
        <v>720</v>
      </c>
      <c r="H946">
        <v>0.08</v>
      </c>
      <c r="I946">
        <v>57.6</v>
      </c>
      <c r="J946" t="s">
        <v>20</v>
      </c>
    </row>
    <row r="947" spans="1:10" x14ac:dyDescent="0.3">
      <c r="A947" t="s">
        <v>977</v>
      </c>
      <c r="B947" s="1">
        <v>43282</v>
      </c>
      <c r="C947" t="s">
        <v>19</v>
      </c>
      <c r="D947" t="s">
        <v>27</v>
      </c>
      <c r="E947">
        <v>19</v>
      </c>
      <c r="F947">
        <v>230</v>
      </c>
      <c r="G947">
        <v>4370</v>
      </c>
      <c r="H947">
        <v>0.06</v>
      </c>
      <c r="I947">
        <v>262.2</v>
      </c>
      <c r="J947" t="s">
        <v>22</v>
      </c>
    </row>
    <row r="948" spans="1:10" x14ac:dyDescent="0.3">
      <c r="A948" t="s">
        <v>978</v>
      </c>
      <c r="B948" s="1">
        <v>43282</v>
      </c>
      <c r="C948" t="s">
        <v>34</v>
      </c>
      <c r="D948" t="s">
        <v>12</v>
      </c>
      <c r="E948">
        <v>4</v>
      </c>
      <c r="F948">
        <v>150</v>
      </c>
      <c r="G948">
        <v>600</v>
      </c>
      <c r="H948">
        <v>0.1</v>
      </c>
      <c r="I948">
        <v>60</v>
      </c>
      <c r="J948" t="s">
        <v>25</v>
      </c>
    </row>
    <row r="949" spans="1:10" x14ac:dyDescent="0.3">
      <c r="A949" t="s">
        <v>979</v>
      </c>
      <c r="B949" s="1">
        <v>43283</v>
      </c>
      <c r="C949" t="s">
        <v>11</v>
      </c>
      <c r="D949" t="s">
        <v>31</v>
      </c>
      <c r="E949">
        <v>9</v>
      </c>
      <c r="F949">
        <v>80</v>
      </c>
      <c r="G949">
        <v>720</v>
      </c>
      <c r="H949">
        <v>0.06</v>
      </c>
      <c r="I949">
        <v>43.2</v>
      </c>
      <c r="J949" t="s">
        <v>28</v>
      </c>
    </row>
    <row r="950" spans="1:10" x14ac:dyDescent="0.3">
      <c r="A950" t="s">
        <v>980</v>
      </c>
      <c r="B950" s="1">
        <v>43283</v>
      </c>
      <c r="C950" t="s">
        <v>11</v>
      </c>
      <c r="D950" t="s">
        <v>24</v>
      </c>
      <c r="E950">
        <v>16</v>
      </c>
      <c r="F950">
        <v>80</v>
      </c>
      <c r="G950">
        <v>1280</v>
      </c>
      <c r="H950">
        <v>0.02</v>
      </c>
      <c r="I950">
        <v>25.6</v>
      </c>
      <c r="J950" t="s">
        <v>17</v>
      </c>
    </row>
    <row r="951" spans="1:10" x14ac:dyDescent="0.3">
      <c r="A951" t="s">
        <v>981</v>
      </c>
      <c r="B951" s="1">
        <v>43283</v>
      </c>
      <c r="C951" t="s">
        <v>19</v>
      </c>
      <c r="D951" t="s">
        <v>16</v>
      </c>
      <c r="E951">
        <v>15</v>
      </c>
      <c r="F951">
        <v>230</v>
      </c>
      <c r="G951">
        <v>3450</v>
      </c>
      <c r="H951">
        <v>0.09</v>
      </c>
      <c r="I951">
        <v>310.5</v>
      </c>
      <c r="J951" t="s">
        <v>20</v>
      </c>
    </row>
    <row r="952" spans="1:10" x14ac:dyDescent="0.3">
      <c r="A952" t="s">
        <v>982</v>
      </c>
      <c r="B952" s="1">
        <v>43283</v>
      </c>
      <c r="C952" t="s">
        <v>30</v>
      </c>
      <c r="D952" t="s">
        <v>31</v>
      </c>
      <c r="E952">
        <v>15</v>
      </c>
      <c r="F952">
        <v>16</v>
      </c>
      <c r="G952">
        <v>240</v>
      </c>
      <c r="H952">
        <v>0.01</v>
      </c>
      <c r="I952">
        <v>2.4</v>
      </c>
      <c r="J952" t="s">
        <v>22</v>
      </c>
    </row>
    <row r="953" spans="1:10" x14ac:dyDescent="0.3">
      <c r="A953" t="s">
        <v>983</v>
      </c>
      <c r="B953" s="1">
        <v>43283</v>
      </c>
      <c r="C953" t="s">
        <v>19</v>
      </c>
      <c r="D953" t="s">
        <v>12</v>
      </c>
      <c r="E953">
        <v>7</v>
      </c>
      <c r="F953">
        <v>230</v>
      </c>
      <c r="G953">
        <v>1610</v>
      </c>
      <c r="H953">
        <v>0.02</v>
      </c>
      <c r="I953">
        <v>32.200000000000003</v>
      </c>
      <c r="J953" t="s">
        <v>25</v>
      </c>
    </row>
    <row r="954" spans="1:10" x14ac:dyDescent="0.3">
      <c r="A954" t="s">
        <v>984</v>
      </c>
      <c r="B954" s="1">
        <v>43283</v>
      </c>
      <c r="C954" t="s">
        <v>30</v>
      </c>
      <c r="D954" t="s">
        <v>24</v>
      </c>
      <c r="E954">
        <v>23</v>
      </c>
      <c r="F954">
        <v>16</v>
      </c>
      <c r="G954">
        <v>368</v>
      </c>
      <c r="H954">
        <v>0.11</v>
      </c>
      <c r="I954">
        <v>40.479999999999997</v>
      </c>
      <c r="J954" t="s">
        <v>28</v>
      </c>
    </row>
    <row r="955" spans="1:10" x14ac:dyDescent="0.3">
      <c r="A955" t="s">
        <v>985</v>
      </c>
      <c r="B955" s="1">
        <v>43283</v>
      </c>
      <c r="C955" t="s">
        <v>15</v>
      </c>
      <c r="D955" t="s">
        <v>31</v>
      </c>
      <c r="E955">
        <v>20</v>
      </c>
      <c r="F955">
        <v>40</v>
      </c>
      <c r="G955">
        <v>800</v>
      </c>
      <c r="H955">
        <v>0.05</v>
      </c>
      <c r="I955">
        <v>40</v>
      </c>
      <c r="J955" t="s">
        <v>32</v>
      </c>
    </row>
    <row r="956" spans="1:10" x14ac:dyDescent="0.3">
      <c r="A956" t="s">
        <v>986</v>
      </c>
      <c r="B956" s="1">
        <v>43284</v>
      </c>
      <c r="C956" t="s">
        <v>19</v>
      </c>
      <c r="D956" t="s">
        <v>16</v>
      </c>
      <c r="E956">
        <v>9</v>
      </c>
      <c r="F956">
        <v>230</v>
      </c>
      <c r="G956">
        <v>2070</v>
      </c>
      <c r="H956">
        <v>0.03</v>
      </c>
      <c r="I956">
        <v>62.1</v>
      </c>
      <c r="J956" t="s">
        <v>35</v>
      </c>
    </row>
    <row r="957" spans="1:10" x14ac:dyDescent="0.3">
      <c r="A957" t="s">
        <v>987</v>
      </c>
      <c r="B957" s="1">
        <v>43284</v>
      </c>
      <c r="C957" t="s">
        <v>15</v>
      </c>
      <c r="D957" t="s">
        <v>27</v>
      </c>
      <c r="E957">
        <v>23</v>
      </c>
      <c r="F957">
        <v>40</v>
      </c>
      <c r="G957">
        <v>920</v>
      </c>
      <c r="H957">
        <v>0.06</v>
      </c>
      <c r="I957">
        <v>55.2</v>
      </c>
      <c r="J957" t="s">
        <v>37</v>
      </c>
    </row>
    <row r="958" spans="1:10" x14ac:dyDescent="0.3">
      <c r="A958" t="s">
        <v>988</v>
      </c>
      <c r="B958" s="1">
        <v>43284</v>
      </c>
      <c r="C958" t="s">
        <v>15</v>
      </c>
      <c r="D958" t="s">
        <v>27</v>
      </c>
      <c r="E958">
        <v>4</v>
      </c>
      <c r="F958">
        <v>40</v>
      </c>
      <c r="G958">
        <v>160</v>
      </c>
      <c r="H958">
        <v>0.05</v>
      </c>
      <c r="I958">
        <v>8</v>
      </c>
      <c r="J958" t="s">
        <v>39</v>
      </c>
    </row>
    <row r="959" spans="1:10" x14ac:dyDescent="0.3">
      <c r="A959" t="s">
        <v>989</v>
      </c>
      <c r="B959" s="1">
        <v>43284</v>
      </c>
      <c r="C959" t="s">
        <v>34</v>
      </c>
      <c r="D959" t="s">
        <v>12</v>
      </c>
      <c r="E959">
        <v>13</v>
      </c>
      <c r="F959">
        <v>150</v>
      </c>
      <c r="G959">
        <v>1950</v>
      </c>
      <c r="H959">
        <v>0.05</v>
      </c>
      <c r="I959">
        <v>97.5</v>
      </c>
      <c r="J959" t="s">
        <v>41</v>
      </c>
    </row>
    <row r="960" spans="1:10" x14ac:dyDescent="0.3">
      <c r="A960" t="s">
        <v>990</v>
      </c>
      <c r="B960" s="1">
        <v>43284</v>
      </c>
      <c r="C960" t="s">
        <v>19</v>
      </c>
      <c r="D960" t="s">
        <v>16</v>
      </c>
      <c r="E960">
        <v>7</v>
      </c>
      <c r="F960">
        <v>230</v>
      </c>
      <c r="G960">
        <v>1610</v>
      </c>
      <c r="H960">
        <v>0.01</v>
      </c>
      <c r="I960">
        <v>16.100000000000001</v>
      </c>
      <c r="J960" t="s">
        <v>43</v>
      </c>
    </row>
    <row r="961" spans="1:10" x14ac:dyDescent="0.3">
      <c r="A961" t="s">
        <v>991</v>
      </c>
      <c r="B961" s="1">
        <v>43284</v>
      </c>
      <c r="C961" t="s">
        <v>19</v>
      </c>
      <c r="D961" t="s">
        <v>16</v>
      </c>
      <c r="E961">
        <v>7</v>
      </c>
      <c r="F961">
        <v>230</v>
      </c>
      <c r="G961">
        <v>1610</v>
      </c>
      <c r="H961">
        <v>0.08</v>
      </c>
      <c r="I961">
        <v>128.80000000000001</v>
      </c>
      <c r="J961" t="s">
        <v>13</v>
      </c>
    </row>
    <row r="962" spans="1:10" x14ac:dyDescent="0.3">
      <c r="A962" t="s">
        <v>992</v>
      </c>
      <c r="B962" s="1">
        <v>43284</v>
      </c>
      <c r="C962" t="s">
        <v>19</v>
      </c>
      <c r="D962" t="s">
        <v>24</v>
      </c>
      <c r="E962">
        <v>15</v>
      </c>
      <c r="F962">
        <v>230</v>
      </c>
      <c r="G962">
        <v>3450</v>
      </c>
      <c r="H962">
        <v>0.04</v>
      </c>
      <c r="I962">
        <v>138</v>
      </c>
      <c r="J962" t="s">
        <v>17</v>
      </c>
    </row>
    <row r="963" spans="1:10" x14ac:dyDescent="0.3">
      <c r="A963" t="s">
        <v>993</v>
      </c>
      <c r="B963" s="1">
        <v>43284</v>
      </c>
      <c r="C963" t="s">
        <v>15</v>
      </c>
      <c r="D963" t="s">
        <v>27</v>
      </c>
      <c r="E963">
        <v>15</v>
      </c>
      <c r="F963">
        <v>40</v>
      </c>
      <c r="G963">
        <v>600</v>
      </c>
      <c r="H963">
        <v>0.03</v>
      </c>
      <c r="I963">
        <v>18</v>
      </c>
      <c r="J963" t="s">
        <v>20</v>
      </c>
    </row>
    <row r="964" spans="1:10" x14ac:dyDescent="0.3">
      <c r="A964" t="s">
        <v>994</v>
      </c>
      <c r="B964" s="1">
        <v>43284</v>
      </c>
      <c r="C964" t="s">
        <v>15</v>
      </c>
      <c r="D964" t="s">
        <v>24</v>
      </c>
      <c r="E964">
        <v>2</v>
      </c>
      <c r="F964">
        <v>40</v>
      </c>
      <c r="G964">
        <v>80</v>
      </c>
      <c r="H964">
        <v>0.03</v>
      </c>
      <c r="I964">
        <v>2.4</v>
      </c>
      <c r="J964" t="s">
        <v>22</v>
      </c>
    </row>
    <row r="965" spans="1:10" x14ac:dyDescent="0.3">
      <c r="A965" t="s">
        <v>995</v>
      </c>
      <c r="B965" s="1">
        <v>43284</v>
      </c>
      <c r="C965" t="s">
        <v>34</v>
      </c>
      <c r="D965" t="s">
        <v>24</v>
      </c>
      <c r="E965">
        <v>2</v>
      </c>
      <c r="F965">
        <v>150</v>
      </c>
      <c r="G965">
        <v>300</v>
      </c>
      <c r="H965">
        <v>0.02</v>
      </c>
      <c r="I965">
        <v>6</v>
      </c>
      <c r="J965" t="s">
        <v>25</v>
      </c>
    </row>
    <row r="966" spans="1:10" x14ac:dyDescent="0.3">
      <c r="A966" t="s">
        <v>996</v>
      </c>
      <c r="B966" s="1">
        <v>43285</v>
      </c>
      <c r="C966" t="s">
        <v>19</v>
      </c>
      <c r="D966" t="s">
        <v>12</v>
      </c>
      <c r="E966">
        <v>3</v>
      </c>
      <c r="F966">
        <v>230</v>
      </c>
      <c r="G966">
        <v>690</v>
      </c>
      <c r="H966">
        <v>0.11</v>
      </c>
      <c r="I966">
        <v>75.900000000000006</v>
      </c>
      <c r="J966" t="s">
        <v>28</v>
      </c>
    </row>
    <row r="967" spans="1:10" x14ac:dyDescent="0.3">
      <c r="A967" t="s">
        <v>997</v>
      </c>
      <c r="B967" s="1">
        <v>43285</v>
      </c>
      <c r="C967" t="s">
        <v>15</v>
      </c>
      <c r="D967" t="s">
        <v>24</v>
      </c>
      <c r="E967">
        <v>4</v>
      </c>
      <c r="F967">
        <v>40</v>
      </c>
      <c r="G967">
        <v>160</v>
      </c>
      <c r="H967">
        <v>0.06</v>
      </c>
      <c r="I967">
        <v>9.6</v>
      </c>
      <c r="J967" t="s">
        <v>17</v>
      </c>
    </row>
    <row r="968" spans="1:10" x14ac:dyDescent="0.3">
      <c r="A968" t="s">
        <v>998</v>
      </c>
      <c r="B968" s="1">
        <v>43285</v>
      </c>
      <c r="C968" t="s">
        <v>15</v>
      </c>
      <c r="D968" t="s">
        <v>27</v>
      </c>
      <c r="E968">
        <v>13</v>
      </c>
      <c r="F968">
        <v>40</v>
      </c>
      <c r="G968">
        <v>520</v>
      </c>
      <c r="H968">
        <v>0.06</v>
      </c>
      <c r="I968">
        <v>31.2</v>
      </c>
      <c r="J968" t="s">
        <v>20</v>
      </c>
    </row>
    <row r="969" spans="1:10" x14ac:dyDescent="0.3">
      <c r="A969" t="s">
        <v>999</v>
      </c>
      <c r="B969" s="1">
        <v>43285</v>
      </c>
      <c r="C969" t="s">
        <v>30</v>
      </c>
      <c r="D969" t="s">
        <v>27</v>
      </c>
      <c r="E969">
        <v>15</v>
      </c>
      <c r="F969">
        <v>16</v>
      </c>
      <c r="G969">
        <v>240</v>
      </c>
      <c r="H969">
        <v>0.12</v>
      </c>
      <c r="I969">
        <v>28.8</v>
      </c>
      <c r="J969" t="s">
        <v>22</v>
      </c>
    </row>
    <row r="970" spans="1:10" x14ac:dyDescent="0.3">
      <c r="A970" t="s">
        <v>1000</v>
      </c>
      <c r="B970" s="1">
        <v>43285</v>
      </c>
      <c r="C970" t="s">
        <v>11</v>
      </c>
      <c r="D970" t="s">
        <v>12</v>
      </c>
      <c r="E970">
        <v>14</v>
      </c>
      <c r="F970">
        <v>80</v>
      </c>
      <c r="G970">
        <v>1120</v>
      </c>
      <c r="H970">
        <v>0.08</v>
      </c>
      <c r="I970">
        <v>89.6</v>
      </c>
      <c r="J970" t="s">
        <v>25</v>
      </c>
    </row>
    <row r="971" spans="1:10" x14ac:dyDescent="0.3">
      <c r="A971" t="s">
        <v>1001</v>
      </c>
      <c r="B971" s="1">
        <v>43285</v>
      </c>
      <c r="C971" t="s">
        <v>30</v>
      </c>
      <c r="D971" t="s">
        <v>12</v>
      </c>
      <c r="E971">
        <v>7</v>
      </c>
      <c r="F971">
        <v>16</v>
      </c>
      <c r="G971">
        <v>112</v>
      </c>
      <c r="H971">
        <v>0.08</v>
      </c>
      <c r="I971">
        <v>8.9600000000000009</v>
      </c>
      <c r="J971" t="s">
        <v>28</v>
      </c>
    </row>
    <row r="972" spans="1:10" x14ac:dyDescent="0.3">
      <c r="A972" t="s">
        <v>1002</v>
      </c>
      <c r="B972" s="1">
        <v>43285</v>
      </c>
      <c r="C972" t="s">
        <v>34</v>
      </c>
      <c r="D972" t="s">
        <v>16</v>
      </c>
      <c r="E972">
        <v>13</v>
      </c>
      <c r="F972">
        <v>150</v>
      </c>
      <c r="G972">
        <v>1950</v>
      </c>
      <c r="H972">
        <v>0.02</v>
      </c>
      <c r="I972">
        <v>39</v>
      </c>
      <c r="J972" t="s">
        <v>32</v>
      </c>
    </row>
    <row r="973" spans="1:10" x14ac:dyDescent="0.3">
      <c r="A973" t="s">
        <v>1003</v>
      </c>
      <c r="B973" s="1">
        <v>43285</v>
      </c>
      <c r="C973" t="s">
        <v>34</v>
      </c>
      <c r="D973" t="s">
        <v>24</v>
      </c>
      <c r="E973">
        <v>9</v>
      </c>
      <c r="F973">
        <v>150</v>
      </c>
      <c r="G973">
        <v>1350</v>
      </c>
      <c r="H973">
        <v>0.02</v>
      </c>
      <c r="I973">
        <v>27</v>
      </c>
      <c r="J973" t="s">
        <v>35</v>
      </c>
    </row>
    <row r="974" spans="1:10" x14ac:dyDescent="0.3">
      <c r="A974" t="s">
        <v>1004</v>
      </c>
      <c r="B974" s="1">
        <v>43285</v>
      </c>
      <c r="C974" t="s">
        <v>15</v>
      </c>
      <c r="D974" t="s">
        <v>12</v>
      </c>
      <c r="E974">
        <v>9</v>
      </c>
      <c r="F974">
        <v>40</v>
      </c>
      <c r="G974">
        <v>360</v>
      </c>
      <c r="H974">
        <v>0.01</v>
      </c>
      <c r="I974">
        <v>3.6</v>
      </c>
      <c r="J974" t="s">
        <v>37</v>
      </c>
    </row>
    <row r="975" spans="1:10" x14ac:dyDescent="0.3">
      <c r="A975" t="s">
        <v>1005</v>
      </c>
      <c r="B975" s="1">
        <v>43286</v>
      </c>
      <c r="C975" t="s">
        <v>11</v>
      </c>
      <c r="D975" t="s">
        <v>31</v>
      </c>
      <c r="E975">
        <v>9</v>
      </c>
      <c r="F975">
        <v>80</v>
      </c>
      <c r="G975">
        <v>720</v>
      </c>
      <c r="H975">
        <v>7.0000000000000007E-2</v>
      </c>
      <c r="I975">
        <v>50.4</v>
      </c>
      <c r="J975" t="s">
        <v>39</v>
      </c>
    </row>
    <row r="976" spans="1:10" x14ac:dyDescent="0.3">
      <c r="A976" t="s">
        <v>1006</v>
      </c>
      <c r="B976" s="1">
        <v>43286</v>
      </c>
      <c r="C976" t="s">
        <v>19</v>
      </c>
      <c r="D976" t="s">
        <v>16</v>
      </c>
      <c r="E976">
        <v>22</v>
      </c>
      <c r="F976">
        <v>230</v>
      </c>
      <c r="G976">
        <v>5060</v>
      </c>
      <c r="H976">
        <v>0.11</v>
      </c>
      <c r="I976">
        <v>556.6</v>
      </c>
      <c r="J976" t="s">
        <v>41</v>
      </c>
    </row>
    <row r="977" spans="1:10" x14ac:dyDescent="0.3">
      <c r="A977" t="s">
        <v>1007</v>
      </c>
      <c r="B977" s="1">
        <v>43286</v>
      </c>
      <c r="C977" t="s">
        <v>34</v>
      </c>
      <c r="D977" t="s">
        <v>16</v>
      </c>
      <c r="E977">
        <v>15</v>
      </c>
      <c r="F977">
        <v>150</v>
      </c>
      <c r="G977">
        <v>2250</v>
      </c>
      <c r="H977">
        <v>0.02</v>
      </c>
      <c r="I977">
        <v>45</v>
      </c>
      <c r="J977" t="s">
        <v>43</v>
      </c>
    </row>
    <row r="978" spans="1:10" x14ac:dyDescent="0.3">
      <c r="A978" t="s">
        <v>1008</v>
      </c>
      <c r="B978" s="1">
        <v>43286</v>
      </c>
      <c r="C978" t="s">
        <v>19</v>
      </c>
      <c r="D978" t="s">
        <v>31</v>
      </c>
      <c r="E978">
        <v>5</v>
      </c>
      <c r="F978">
        <v>230</v>
      </c>
      <c r="G978">
        <v>1150</v>
      </c>
      <c r="H978">
        <v>0.12</v>
      </c>
      <c r="I978">
        <v>138</v>
      </c>
      <c r="J978" t="s">
        <v>13</v>
      </c>
    </row>
    <row r="979" spans="1:10" x14ac:dyDescent="0.3">
      <c r="A979" t="s">
        <v>1009</v>
      </c>
      <c r="B979" s="1">
        <v>43286</v>
      </c>
      <c r="C979" t="s">
        <v>15</v>
      </c>
      <c r="D979" t="s">
        <v>24</v>
      </c>
      <c r="E979">
        <v>20</v>
      </c>
      <c r="F979">
        <v>40</v>
      </c>
      <c r="G979">
        <v>800</v>
      </c>
      <c r="H979">
        <v>0.01</v>
      </c>
      <c r="I979">
        <v>8</v>
      </c>
      <c r="J979" t="s">
        <v>17</v>
      </c>
    </row>
    <row r="980" spans="1:10" x14ac:dyDescent="0.3">
      <c r="A980" t="s">
        <v>1010</v>
      </c>
      <c r="B980" s="1">
        <v>43286</v>
      </c>
      <c r="C980" t="s">
        <v>15</v>
      </c>
      <c r="D980" t="s">
        <v>12</v>
      </c>
      <c r="E980">
        <v>23</v>
      </c>
      <c r="F980">
        <v>40</v>
      </c>
      <c r="G980">
        <v>920</v>
      </c>
      <c r="H980">
        <v>0.03</v>
      </c>
      <c r="I980">
        <v>27.6</v>
      </c>
      <c r="J980" t="s">
        <v>20</v>
      </c>
    </row>
    <row r="981" spans="1:10" x14ac:dyDescent="0.3">
      <c r="A981" t="s">
        <v>1011</v>
      </c>
      <c r="B981" s="1">
        <v>43286</v>
      </c>
      <c r="C981" t="s">
        <v>11</v>
      </c>
      <c r="D981" t="s">
        <v>31</v>
      </c>
      <c r="E981">
        <v>16</v>
      </c>
      <c r="F981">
        <v>80</v>
      </c>
      <c r="G981">
        <v>1280</v>
      </c>
      <c r="H981">
        <v>0.05</v>
      </c>
      <c r="I981">
        <v>64</v>
      </c>
      <c r="J981" t="s">
        <v>22</v>
      </c>
    </row>
    <row r="982" spans="1:10" x14ac:dyDescent="0.3">
      <c r="A982" t="s">
        <v>1012</v>
      </c>
      <c r="B982" s="1">
        <v>43286</v>
      </c>
      <c r="C982" t="s">
        <v>19</v>
      </c>
      <c r="D982" t="s">
        <v>24</v>
      </c>
      <c r="E982">
        <v>18</v>
      </c>
      <c r="F982">
        <v>230</v>
      </c>
      <c r="G982">
        <v>4140</v>
      </c>
      <c r="H982">
        <v>0.01</v>
      </c>
      <c r="I982">
        <v>41.4</v>
      </c>
      <c r="J982" t="s">
        <v>25</v>
      </c>
    </row>
    <row r="983" spans="1:10" x14ac:dyDescent="0.3">
      <c r="A983" t="s">
        <v>1013</v>
      </c>
      <c r="B983" s="1">
        <v>43286</v>
      </c>
      <c r="C983" t="s">
        <v>15</v>
      </c>
      <c r="D983" t="s">
        <v>31</v>
      </c>
      <c r="E983">
        <v>23</v>
      </c>
      <c r="F983">
        <v>40</v>
      </c>
      <c r="G983">
        <v>920</v>
      </c>
      <c r="H983">
        <v>0.05</v>
      </c>
      <c r="I983">
        <v>46</v>
      </c>
      <c r="J983" t="s">
        <v>28</v>
      </c>
    </row>
    <row r="984" spans="1:10" x14ac:dyDescent="0.3">
      <c r="A984" t="s">
        <v>1014</v>
      </c>
      <c r="B984" s="1">
        <v>43286</v>
      </c>
      <c r="C984" t="s">
        <v>30</v>
      </c>
      <c r="D984" t="s">
        <v>27</v>
      </c>
      <c r="E984">
        <v>5</v>
      </c>
      <c r="F984">
        <v>16</v>
      </c>
      <c r="G984">
        <v>80</v>
      </c>
      <c r="H984">
        <v>0.09</v>
      </c>
      <c r="I984">
        <v>7.2</v>
      </c>
      <c r="J984" t="s">
        <v>17</v>
      </c>
    </row>
    <row r="985" spans="1:10" x14ac:dyDescent="0.3">
      <c r="A985" t="s">
        <v>1015</v>
      </c>
      <c r="B985" s="1">
        <v>43286</v>
      </c>
      <c r="C985" t="s">
        <v>15</v>
      </c>
      <c r="D985" t="s">
        <v>12</v>
      </c>
      <c r="E985">
        <v>22</v>
      </c>
      <c r="F985">
        <v>40</v>
      </c>
      <c r="G985">
        <v>880</v>
      </c>
      <c r="H985">
        <v>0.02</v>
      </c>
      <c r="I985">
        <v>17.600000000000001</v>
      </c>
      <c r="J985" t="s">
        <v>20</v>
      </c>
    </row>
    <row r="986" spans="1:10" x14ac:dyDescent="0.3">
      <c r="A986" t="s">
        <v>1016</v>
      </c>
      <c r="B986" s="1">
        <v>43287</v>
      </c>
      <c r="C986" t="s">
        <v>34</v>
      </c>
      <c r="D986" t="s">
        <v>12</v>
      </c>
      <c r="E986">
        <v>23</v>
      </c>
      <c r="F986">
        <v>150</v>
      </c>
      <c r="G986">
        <v>3450</v>
      </c>
      <c r="H986">
        <v>0.1</v>
      </c>
      <c r="I986">
        <v>345</v>
      </c>
      <c r="J986" t="s">
        <v>22</v>
      </c>
    </row>
    <row r="987" spans="1:10" x14ac:dyDescent="0.3">
      <c r="A987" t="s">
        <v>1017</v>
      </c>
      <c r="B987" s="1">
        <v>43287</v>
      </c>
      <c r="C987" t="s">
        <v>19</v>
      </c>
      <c r="D987" t="s">
        <v>16</v>
      </c>
      <c r="E987">
        <v>22</v>
      </c>
      <c r="F987">
        <v>230</v>
      </c>
      <c r="G987">
        <v>5060</v>
      </c>
      <c r="H987">
        <v>0.04</v>
      </c>
      <c r="I987">
        <v>202.4</v>
      </c>
      <c r="J987" t="s">
        <v>25</v>
      </c>
    </row>
    <row r="988" spans="1:10" x14ac:dyDescent="0.3">
      <c r="A988" t="s">
        <v>1018</v>
      </c>
      <c r="B988" s="1">
        <v>43287</v>
      </c>
      <c r="C988" t="s">
        <v>11</v>
      </c>
      <c r="D988" t="s">
        <v>27</v>
      </c>
      <c r="E988">
        <v>16</v>
      </c>
      <c r="F988">
        <v>80</v>
      </c>
      <c r="G988">
        <v>1280</v>
      </c>
      <c r="H988">
        <v>7.0000000000000007E-2</v>
      </c>
      <c r="I988">
        <v>89.6</v>
      </c>
      <c r="J988" t="s">
        <v>28</v>
      </c>
    </row>
    <row r="989" spans="1:10" x14ac:dyDescent="0.3">
      <c r="A989" t="s">
        <v>1019</v>
      </c>
      <c r="B989" s="1">
        <v>43287</v>
      </c>
      <c r="C989" t="s">
        <v>34</v>
      </c>
      <c r="D989" t="s">
        <v>24</v>
      </c>
      <c r="E989">
        <v>22</v>
      </c>
      <c r="F989">
        <v>150</v>
      </c>
      <c r="G989">
        <v>3300</v>
      </c>
      <c r="H989">
        <v>0.09</v>
      </c>
      <c r="I989">
        <v>297</v>
      </c>
      <c r="J989" t="s">
        <v>32</v>
      </c>
    </row>
    <row r="990" spans="1:10" x14ac:dyDescent="0.3">
      <c r="A990" t="s">
        <v>1020</v>
      </c>
      <c r="B990" s="1">
        <v>43287</v>
      </c>
      <c r="C990" t="s">
        <v>11</v>
      </c>
      <c r="D990" t="s">
        <v>24</v>
      </c>
      <c r="E990">
        <v>5</v>
      </c>
      <c r="F990">
        <v>80</v>
      </c>
      <c r="G990">
        <v>400</v>
      </c>
      <c r="H990">
        <v>0.09</v>
      </c>
      <c r="I990">
        <v>36</v>
      </c>
      <c r="J990" t="s">
        <v>35</v>
      </c>
    </row>
    <row r="991" spans="1:10" x14ac:dyDescent="0.3">
      <c r="A991" t="s">
        <v>1021</v>
      </c>
      <c r="B991" s="1">
        <v>43287</v>
      </c>
      <c r="C991" t="s">
        <v>11</v>
      </c>
      <c r="D991" t="s">
        <v>27</v>
      </c>
      <c r="E991">
        <v>16</v>
      </c>
      <c r="F991">
        <v>80</v>
      </c>
      <c r="G991">
        <v>1280</v>
      </c>
      <c r="H991">
        <v>0.1</v>
      </c>
      <c r="I991">
        <v>128</v>
      </c>
      <c r="J991" t="s">
        <v>37</v>
      </c>
    </row>
    <row r="992" spans="1:10" x14ac:dyDescent="0.3">
      <c r="A992" t="s">
        <v>1022</v>
      </c>
      <c r="B992" s="1">
        <v>43287</v>
      </c>
      <c r="C992" t="s">
        <v>34</v>
      </c>
      <c r="D992" t="s">
        <v>16</v>
      </c>
      <c r="E992">
        <v>23</v>
      </c>
      <c r="F992">
        <v>150</v>
      </c>
      <c r="G992">
        <v>3450</v>
      </c>
      <c r="H992">
        <v>0.11</v>
      </c>
      <c r="I992">
        <v>379.5</v>
      </c>
      <c r="J992" t="s">
        <v>39</v>
      </c>
    </row>
    <row r="993" spans="1:10" x14ac:dyDescent="0.3">
      <c r="A993" t="s">
        <v>1023</v>
      </c>
      <c r="B993" s="1">
        <v>43287</v>
      </c>
      <c r="C993" t="s">
        <v>30</v>
      </c>
      <c r="D993" t="s">
        <v>16</v>
      </c>
      <c r="E993">
        <v>4</v>
      </c>
      <c r="F993">
        <v>16</v>
      </c>
      <c r="G993">
        <v>64</v>
      </c>
      <c r="H993">
        <v>0.09</v>
      </c>
      <c r="I993">
        <v>5.76</v>
      </c>
      <c r="J993" t="s">
        <v>41</v>
      </c>
    </row>
    <row r="994" spans="1:10" x14ac:dyDescent="0.3">
      <c r="A994" t="s">
        <v>1024</v>
      </c>
      <c r="B994" s="1">
        <v>43287</v>
      </c>
      <c r="C994" t="s">
        <v>30</v>
      </c>
      <c r="D994" t="s">
        <v>16</v>
      </c>
      <c r="E994">
        <v>4</v>
      </c>
      <c r="F994">
        <v>16</v>
      </c>
      <c r="G994">
        <v>64</v>
      </c>
      <c r="H994">
        <v>7.0000000000000007E-2</v>
      </c>
      <c r="I994">
        <v>4.4800000000000004</v>
      </c>
      <c r="J994" t="s">
        <v>43</v>
      </c>
    </row>
    <row r="995" spans="1:10" x14ac:dyDescent="0.3">
      <c r="A995" t="s">
        <v>1025</v>
      </c>
      <c r="B995" s="1">
        <v>43287</v>
      </c>
      <c r="C995" t="s">
        <v>30</v>
      </c>
      <c r="D995" t="s">
        <v>12</v>
      </c>
      <c r="E995">
        <v>16</v>
      </c>
      <c r="F995">
        <v>16</v>
      </c>
      <c r="G995">
        <v>256</v>
      </c>
      <c r="H995">
        <v>0.03</v>
      </c>
      <c r="I995">
        <v>7.68</v>
      </c>
      <c r="J995" t="s">
        <v>13</v>
      </c>
    </row>
    <row r="996" spans="1:10" x14ac:dyDescent="0.3">
      <c r="A996" t="s">
        <v>1026</v>
      </c>
      <c r="B996" s="1">
        <v>43287</v>
      </c>
      <c r="C996" t="s">
        <v>15</v>
      </c>
      <c r="D996" t="s">
        <v>27</v>
      </c>
      <c r="E996">
        <v>18</v>
      </c>
      <c r="F996">
        <v>40</v>
      </c>
      <c r="G996">
        <v>720</v>
      </c>
      <c r="H996">
        <v>0.04</v>
      </c>
      <c r="I996">
        <v>28.8</v>
      </c>
      <c r="J996" t="s">
        <v>17</v>
      </c>
    </row>
    <row r="997" spans="1:10" x14ac:dyDescent="0.3">
      <c r="A997" t="s">
        <v>1027</v>
      </c>
      <c r="B997" s="1">
        <v>43287</v>
      </c>
      <c r="C997" t="s">
        <v>11</v>
      </c>
      <c r="D997" t="s">
        <v>27</v>
      </c>
      <c r="E997">
        <v>21</v>
      </c>
      <c r="F997">
        <v>80</v>
      </c>
      <c r="G997">
        <v>1680</v>
      </c>
      <c r="H997">
        <v>0.02</v>
      </c>
      <c r="I997">
        <v>33.6</v>
      </c>
      <c r="J997" t="s">
        <v>20</v>
      </c>
    </row>
    <row r="998" spans="1:10" x14ac:dyDescent="0.3">
      <c r="A998" t="s">
        <v>1028</v>
      </c>
      <c r="B998" s="1">
        <v>43287</v>
      </c>
      <c r="C998" t="s">
        <v>11</v>
      </c>
      <c r="D998" t="s">
        <v>31</v>
      </c>
      <c r="E998">
        <v>10</v>
      </c>
      <c r="F998">
        <v>80</v>
      </c>
      <c r="G998">
        <v>800</v>
      </c>
      <c r="H998">
        <v>0.06</v>
      </c>
      <c r="I998">
        <v>48</v>
      </c>
      <c r="J998" t="s">
        <v>22</v>
      </c>
    </row>
    <row r="999" spans="1:10" x14ac:dyDescent="0.3">
      <c r="A999" t="s">
        <v>1029</v>
      </c>
      <c r="B999" s="1">
        <v>43287</v>
      </c>
      <c r="C999" t="s">
        <v>19</v>
      </c>
      <c r="D999" t="s">
        <v>24</v>
      </c>
      <c r="E999">
        <v>7</v>
      </c>
      <c r="F999">
        <v>230</v>
      </c>
      <c r="G999">
        <v>1610</v>
      </c>
      <c r="H999">
        <v>0.01</v>
      </c>
      <c r="I999">
        <v>16.100000000000001</v>
      </c>
      <c r="J999" t="s">
        <v>25</v>
      </c>
    </row>
    <row r="1000" spans="1:10" x14ac:dyDescent="0.3">
      <c r="A1000" t="s">
        <v>1030</v>
      </c>
      <c r="B1000" s="1">
        <v>43288</v>
      </c>
      <c r="C1000" t="s">
        <v>30</v>
      </c>
      <c r="D1000" t="s">
        <v>31</v>
      </c>
      <c r="E1000">
        <v>11</v>
      </c>
      <c r="F1000">
        <v>16</v>
      </c>
      <c r="G1000">
        <v>176</v>
      </c>
      <c r="H1000">
        <v>0.12</v>
      </c>
      <c r="I1000">
        <v>21.12</v>
      </c>
      <c r="J1000" t="s">
        <v>28</v>
      </c>
    </row>
    <row r="1001" spans="1:10" x14ac:dyDescent="0.3">
      <c r="A1001" t="s">
        <v>1031</v>
      </c>
      <c r="B1001" s="1">
        <v>43288</v>
      </c>
      <c r="C1001" t="s">
        <v>11</v>
      </c>
      <c r="D1001" t="s">
        <v>27</v>
      </c>
      <c r="E1001">
        <v>10</v>
      </c>
      <c r="F1001">
        <v>80</v>
      </c>
      <c r="G1001">
        <v>800</v>
      </c>
      <c r="H1001">
        <v>0.1</v>
      </c>
      <c r="I1001">
        <v>80</v>
      </c>
      <c r="J1001" t="s">
        <v>17</v>
      </c>
    </row>
    <row r="1002" spans="1:10" x14ac:dyDescent="0.3">
      <c r="A1002" t="s">
        <v>1032</v>
      </c>
      <c r="B1002" s="1">
        <v>43288</v>
      </c>
      <c r="C1002" t="s">
        <v>15</v>
      </c>
      <c r="D1002" t="s">
        <v>16</v>
      </c>
      <c r="E1002">
        <v>23</v>
      </c>
      <c r="F1002">
        <v>40</v>
      </c>
      <c r="G1002">
        <v>920</v>
      </c>
      <c r="H1002">
        <v>0.06</v>
      </c>
      <c r="I1002">
        <v>55.2</v>
      </c>
      <c r="J1002" t="s">
        <v>20</v>
      </c>
    </row>
    <row r="1003" spans="1:10" x14ac:dyDescent="0.3">
      <c r="A1003" t="s">
        <v>1033</v>
      </c>
      <c r="B1003" s="1">
        <v>43288</v>
      </c>
      <c r="C1003" t="s">
        <v>34</v>
      </c>
      <c r="D1003" t="s">
        <v>31</v>
      </c>
      <c r="E1003">
        <v>7</v>
      </c>
      <c r="F1003">
        <v>150</v>
      </c>
      <c r="G1003">
        <v>1050</v>
      </c>
      <c r="H1003">
        <v>0.02</v>
      </c>
      <c r="I1003">
        <v>21</v>
      </c>
      <c r="J1003" t="s">
        <v>22</v>
      </c>
    </row>
    <row r="1004" spans="1:10" x14ac:dyDescent="0.3">
      <c r="A1004" t="s">
        <v>1034</v>
      </c>
      <c r="B1004" s="1">
        <v>43288</v>
      </c>
      <c r="C1004" t="s">
        <v>11</v>
      </c>
      <c r="D1004" t="s">
        <v>12</v>
      </c>
      <c r="E1004">
        <v>17</v>
      </c>
      <c r="F1004">
        <v>80</v>
      </c>
      <c r="G1004">
        <v>1360</v>
      </c>
      <c r="H1004">
        <v>7.0000000000000007E-2</v>
      </c>
      <c r="I1004">
        <v>95.2</v>
      </c>
      <c r="J1004" t="s">
        <v>25</v>
      </c>
    </row>
    <row r="1005" spans="1:10" x14ac:dyDescent="0.3">
      <c r="A1005" t="s">
        <v>1035</v>
      </c>
      <c r="B1005" s="1">
        <v>43288</v>
      </c>
      <c r="C1005" t="s">
        <v>34</v>
      </c>
      <c r="D1005" t="s">
        <v>16</v>
      </c>
      <c r="E1005">
        <v>20</v>
      </c>
      <c r="F1005">
        <v>150</v>
      </c>
      <c r="G1005">
        <v>3000</v>
      </c>
      <c r="H1005">
        <v>0.09</v>
      </c>
      <c r="I1005">
        <v>270</v>
      </c>
      <c r="J1005" t="s">
        <v>28</v>
      </c>
    </row>
    <row r="1006" spans="1:10" x14ac:dyDescent="0.3">
      <c r="A1006" t="s">
        <v>1036</v>
      </c>
      <c r="B1006" s="1">
        <v>43288</v>
      </c>
      <c r="C1006" t="s">
        <v>19</v>
      </c>
      <c r="D1006" t="s">
        <v>27</v>
      </c>
      <c r="E1006">
        <v>23</v>
      </c>
      <c r="F1006">
        <v>230</v>
      </c>
      <c r="G1006">
        <v>5290</v>
      </c>
      <c r="H1006">
        <v>0.06</v>
      </c>
      <c r="I1006">
        <v>317.39999999999998</v>
      </c>
      <c r="J1006" t="s">
        <v>32</v>
      </c>
    </row>
    <row r="1007" spans="1:10" x14ac:dyDescent="0.3">
      <c r="A1007" t="s">
        <v>1037</v>
      </c>
      <c r="B1007" s="1">
        <v>43288</v>
      </c>
      <c r="C1007" t="s">
        <v>11</v>
      </c>
      <c r="D1007" t="s">
        <v>16</v>
      </c>
      <c r="E1007">
        <v>16</v>
      </c>
      <c r="F1007">
        <v>80</v>
      </c>
      <c r="G1007">
        <v>1280</v>
      </c>
      <c r="H1007">
        <v>0.04</v>
      </c>
      <c r="I1007">
        <v>51.2</v>
      </c>
      <c r="J1007" t="s">
        <v>35</v>
      </c>
    </row>
    <row r="1008" spans="1:10" x14ac:dyDescent="0.3">
      <c r="A1008" t="s">
        <v>1038</v>
      </c>
      <c r="B1008" s="1">
        <v>43288</v>
      </c>
      <c r="C1008" t="s">
        <v>19</v>
      </c>
      <c r="D1008" t="s">
        <v>31</v>
      </c>
      <c r="E1008">
        <v>22</v>
      </c>
      <c r="F1008">
        <v>230</v>
      </c>
      <c r="G1008">
        <v>5060</v>
      </c>
      <c r="H1008">
        <v>0.1</v>
      </c>
      <c r="I1008">
        <v>506</v>
      </c>
      <c r="J1008" t="s">
        <v>37</v>
      </c>
    </row>
    <row r="1009" spans="1:10" x14ac:dyDescent="0.3">
      <c r="A1009" t="s">
        <v>1039</v>
      </c>
      <c r="B1009" s="1">
        <v>43288</v>
      </c>
      <c r="C1009" t="s">
        <v>19</v>
      </c>
      <c r="D1009" t="s">
        <v>24</v>
      </c>
      <c r="E1009">
        <v>15</v>
      </c>
      <c r="F1009">
        <v>230</v>
      </c>
      <c r="G1009">
        <v>3450</v>
      </c>
      <c r="H1009">
        <v>0.11</v>
      </c>
      <c r="I1009">
        <v>379.5</v>
      </c>
      <c r="J1009" t="s">
        <v>39</v>
      </c>
    </row>
    <row r="1010" spans="1:10" x14ac:dyDescent="0.3">
      <c r="A1010" t="s">
        <v>1040</v>
      </c>
      <c r="B1010" s="1">
        <v>43288</v>
      </c>
      <c r="C1010" t="s">
        <v>15</v>
      </c>
      <c r="D1010" t="s">
        <v>16</v>
      </c>
      <c r="E1010">
        <v>15</v>
      </c>
      <c r="F1010">
        <v>40</v>
      </c>
      <c r="G1010">
        <v>600</v>
      </c>
      <c r="H1010">
        <v>0.04</v>
      </c>
      <c r="I1010">
        <v>24</v>
      </c>
      <c r="J1010" t="s">
        <v>41</v>
      </c>
    </row>
    <row r="1011" spans="1:10" x14ac:dyDescent="0.3">
      <c r="A1011" t="s">
        <v>1041</v>
      </c>
      <c r="B1011" s="1">
        <v>43288</v>
      </c>
      <c r="C1011" t="s">
        <v>11</v>
      </c>
      <c r="D1011" t="s">
        <v>16</v>
      </c>
      <c r="E1011">
        <v>2</v>
      </c>
      <c r="F1011">
        <v>80</v>
      </c>
      <c r="G1011">
        <v>160</v>
      </c>
      <c r="H1011">
        <v>7.0000000000000007E-2</v>
      </c>
      <c r="I1011">
        <v>11.2</v>
      </c>
      <c r="J1011" t="s">
        <v>43</v>
      </c>
    </row>
    <row r="1012" spans="1:10" x14ac:dyDescent="0.3">
      <c r="A1012" t="s">
        <v>1042</v>
      </c>
      <c r="B1012" s="1">
        <v>43289</v>
      </c>
      <c r="C1012" t="s">
        <v>34</v>
      </c>
      <c r="D1012" t="s">
        <v>12</v>
      </c>
      <c r="E1012">
        <v>22</v>
      </c>
      <c r="F1012">
        <v>150</v>
      </c>
      <c r="G1012">
        <v>3300</v>
      </c>
      <c r="H1012">
        <v>0.05</v>
      </c>
      <c r="I1012">
        <v>165</v>
      </c>
      <c r="J1012" t="s">
        <v>13</v>
      </c>
    </row>
    <row r="1013" spans="1:10" x14ac:dyDescent="0.3">
      <c r="A1013" t="s">
        <v>1043</v>
      </c>
      <c r="B1013" s="1">
        <v>43289</v>
      </c>
      <c r="C1013" t="s">
        <v>15</v>
      </c>
      <c r="D1013" t="s">
        <v>31</v>
      </c>
      <c r="E1013">
        <v>20</v>
      </c>
      <c r="F1013">
        <v>40</v>
      </c>
      <c r="G1013">
        <v>800</v>
      </c>
      <c r="H1013">
        <v>7.0000000000000007E-2</v>
      </c>
      <c r="I1013">
        <v>56</v>
      </c>
      <c r="J1013" t="s">
        <v>17</v>
      </c>
    </row>
    <row r="1014" spans="1:10" x14ac:dyDescent="0.3">
      <c r="A1014" t="s">
        <v>1044</v>
      </c>
      <c r="B1014" s="1">
        <v>43289</v>
      </c>
      <c r="C1014" t="s">
        <v>19</v>
      </c>
      <c r="D1014" t="s">
        <v>27</v>
      </c>
      <c r="E1014">
        <v>2</v>
      </c>
      <c r="F1014">
        <v>230</v>
      </c>
      <c r="G1014">
        <v>460</v>
      </c>
      <c r="H1014">
        <v>0.09</v>
      </c>
      <c r="I1014">
        <v>41.4</v>
      </c>
      <c r="J1014" t="s">
        <v>20</v>
      </c>
    </row>
    <row r="1015" spans="1:10" x14ac:dyDescent="0.3">
      <c r="A1015" t="s">
        <v>1045</v>
      </c>
      <c r="B1015" s="1">
        <v>43289</v>
      </c>
      <c r="C1015" t="s">
        <v>15</v>
      </c>
      <c r="D1015" t="s">
        <v>27</v>
      </c>
      <c r="E1015">
        <v>7</v>
      </c>
      <c r="F1015">
        <v>40</v>
      </c>
      <c r="G1015">
        <v>280</v>
      </c>
      <c r="H1015">
        <v>0.11</v>
      </c>
      <c r="I1015">
        <v>30.8</v>
      </c>
      <c r="J1015" t="s">
        <v>22</v>
      </c>
    </row>
    <row r="1016" spans="1:10" x14ac:dyDescent="0.3">
      <c r="A1016" t="s">
        <v>1046</v>
      </c>
      <c r="B1016" s="1">
        <v>43289</v>
      </c>
      <c r="C1016" t="s">
        <v>11</v>
      </c>
      <c r="D1016" t="s">
        <v>27</v>
      </c>
      <c r="E1016">
        <v>7</v>
      </c>
      <c r="F1016">
        <v>80</v>
      </c>
      <c r="G1016">
        <v>560</v>
      </c>
      <c r="H1016">
        <v>7.0000000000000007E-2</v>
      </c>
      <c r="I1016">
        <v>39.200000000000003</v>
      </c>
      <c r="J1016" t="s">
        <v>25</v>
      </c>
    </row>
    <row r="1017" spans="1:10" x14ac:dyDescent="0.3">
      <c r="A1017" t="s">
        <v>1047</v>
      </c>
      <c r="B1017" s="1">
        <v>43289</v>
      </c>
      <c r="C1017" t="s">
        <v>15</v>
      </c>
      <c r="D1017" t="s">
        <v>27</v>
      </c>
      <c r="E1017">
        <v>9</v>
      </c>
      <c r="F1017">
        <v>40</v>
      </c>
      <c r="G1017">
        <v>360</v>
      </c>
      <c r="H1017">
        <v>0.06</v>
      </c>
      <c r="I1017">
        <v>21.6</v>
      </c>
      <c r="J1017" t="s">
        <v>28</v>
      </c>
    </row>
    <row r="1018" spans="1:10" x14ac:dyDescent="0.3">
      <c r="A1018" t="s">
        <v>1048</v>
      </c>
      <c r="B1018" s="1">
        <v>43289</v>
      </c>
      <c r="C1018" t="s">
        <v>15</v>
      </c>
      <c r="D1018" t="s">
        <v>12</v>
      </c>
      <c r="E1018">
        <v>18</v>
      </c>
      <c r="F1018">
        <v>40</v>
      </c>
      <c r="G1018">
        <v>720</v>
      </c>
      <c r="H1018">
        <v>0.11</v>
      </c>
      <c r="I1018">
        <v>79.2</v>
      </c>
      <c r="J1018" t="s">
        <v>17</v>
      </c>
    </row>
    <row r="1019" spans="1:10" x14ac:dyDescent="0.3">
      <c r="A1019" t="s">
        <v>1049</v>
      </c>
      <c r="B1019" s="1">
        <v>43289</v>
      </c>
      <c r="C1019" t="s">
        <v>19</v>
      </c>
      <c r="D1019" t="s">
        <v>12</v>
      </c>
      <c r="E1019">
        <v>20</v>
      </c>
      <c r="F1019">
        <v>230</v>
      </c>
      <c r="G1019">
        <v>4600</v>
      </c>
      <c r="H1019">
        <v>0.04</v>
      </c>
      <c r="I1019">
        <v>184</v>
      </c>
      <c r="J1019" t="s">
        <v>20</v>
      </c>
    </row>
    <row r="1020" spans="1:10" x14ac:dyDescent="0.3">
      <c r="A1020" t="s">
        <v>1050</v>
      </c>
      <c r="B1020" s="1">
        <v>43289</v>
      </c>
      <c r="C1020" t="s">
        <v>11</v>
      </c>
      <c r="D1020" t="s">
        <v>24</v>
      </c>
      <c r="E1020">
        <v>23</v>
      </c>
      <c r="F1020">
        <v>80</v>
      </c>
      <c r="G1020">
        <v>1840</v>
      </c>
      <c r="H1020">
        <v>0.05</v>
      </c>
      <c r="I1020">
        <v>92</v>
      </c>
      <c r="J1020" t="s">
        <v>22</v>
      </c>
    </row>
    <row r="1021" spans="1:10" x14ac:dyDescent="0.3">
      <c r="A1021" t="s">
        <v>1051</v>
      </c>
      <c r="B1021" s="1">
        <v>43289</v>
      </c>
      <c r="C1021" t="s">
        <v>34</v>
      </c>
      <c r="D1021" t="s">
        <v>31</v>
      </c>
      <c r="E1021">
        <v>11</v>
      </c>
      <c r="F1021">
        <v>150</v>
      </c>
      <c r="G1021">
        <v>1650</v>
      </c>
      <c r="H1021">
        <v>0.09</v>
      </c>
      <c r="I1021">
        <v>148.5</v>
      </c>
      <c r="J1021" t="s">
        <v>25</v>
      </c>
    </row>
    <row r="1022" spans="1:10" x14ac:dyDescent="0.3">
      <c r="A1022" t="s">
        <v>1052</v>
      </c>
      <c r="B1022" s="1">
        <v>43289</v>
      </c>
      <c r="C1022" t="s">
        <v>34</v>
      </c>
      <c r="D1022" t="s">
        <v>12</v>
      </c>
      <c r="E1022">
        <v>17</v>
      </c>
      <c r="F1022">
        <v>150</v>
      </c>
      <c r="G1022">
        <v>2550</v>
      </c>
      <c r="H1022">
        <v>0.12</v>
      </c>
      <c r="I1022">
        <v>306</v>
      </c>
      <c r="J1022" t="s">
        <v>28</v>
      </c>
    </row>
    <row r="1023" spans="1:10" x14ac:dyDescent="0.3">
      <c r="A1023" t="s">
        <v>1053</v>
      </c>
      <c r="B1023" s="1">
        <v>43289</v>
      </c>
      <c r="C1023" t="s">
        <v>19</v>
      </c>
      <c r="D1023" t="s">
        <v>31</v>
      </c>
      <c r="E1023">
        <v>2</v>
      </c>
      <c r="F1023">
        <v>230</v>
      </c>
      <c r="G1023">
        <v>460</v>
      </c>
      <c r="H1023">
        <v>0.08</v>
      </c>
      <c r="I1023">
        <v>36.799999999999997</v>
      </c>
      <c r="J1023" t="s">
        <v>32</v>
      </c>
    </row>
    <row r="1024" spans="1:10" x14ac:dyDescent="0.3">
      <c r="A1024" t="s">
        <v>1054</v>
      </c>
      <c r="B1024" s="1">
        <v>43289</v>
      </c>
      <c r="C1024" t="s">
        <v>11</v>
      </c>
      <c r="D1024" t="s">
        <v>24</v>
      </c>
      <c r="E1024">
        <v>10</v>
      </c>
      <c r="F1024">
        <v>80</v>
      </c>
      <c r="G1024">
        <v>800</v>
      </c>
      <c r="H1024">
        <v>0.11</v>
      </c>
      <c r="I1024">
        <v>88</v>
      </c>
      <c r="J1024" t="s">
        <v>35</v>
      </c>
    </row>
    <row r="1025" spans="1:10" x14ac:dyDescent="0.3">
      <c r="A1025" t="s">
        <v>1055</v>
      </c>
      <c r="B1025" s="1">
        <v>43290</v>
      </c>
      <c r="C1025" t="s">
        <v>30</v>
      </c>
      <c r="D1025" t="s">
        <v>27</v>
      </c>
      <c r="E1025">
        <v>22</v>
      </c>
      <c r="F1025">
        <v>16</v>
      </c>
      <c r="G1025">
        <v>352</v>
      </c>
      <c r="H1025">
        <v>0.03</v>
      </c>
      <c r="I1025">
        <v>10.56</v>
      </c>
      <c r="J1025" t="s">
        <v>37</v>
      </c>
    </row>
    <row r="1026" spans="1:10" x14ac:dyDescent="0.3">
      <c r="A1026" t="s">
        <v>1056</v>
      </c>
      <c r="B1026" s="1">
        <v>43290</v>
      </c>
      <c r="C1026" t="s">
        <v>30</v>
      </c>
      <c r="D1026" t="s">
        <v>24</v>
      </c>
      <c r="E1026">
        <v>9</v>
      </c>
      <c r="F1026">
        <v>16</v>
      </c>
      <c r="G1026">
        <v>144</v>
      </c>
      <c r="H1026">
        <v>0.05</v>
      </c>
      <c r="I1026">
        <v>7.2</v>
      </c>
      <c r="J1026" t="s">
        <v>39</v>
      </c>
    </row>
    <row r="1027" spans="1:10" x14ac:dyDescent="0.3">
      <c r="A1027" t="s">
        <v>1057</v>
      </c>
      <c r="B1027" s="1">
        <v>43290</v>
      </c>
      <c r="C1027" t="s">
        <v>15</v>
      </c>
      <c r="D1027" t="s">
        <v>24</v>
      </c>
      <c r="E1027">
        <v>4</v>
      </c>
      <c r="F1027">
        <v>40</v>
      </c>
      <c r="G1027">
        <v>160</v>
      </c>
      <c r="H1027">
        <v>0.1</v>
      </c>
      <c r="I1027">
        <v>16</v>
      </c>
      <c r="J1027" t="s">
        <v>41</v>
      </c>
    </row>
    <row r="1028" spans="1:10" x14ac:dyDescent="0.3">
      <c r="A1028" t="s">
        <v>1058</v>
      </c>
      <c r="B1028" s="1">
        <v>43290</v>
      </c>
      <c r="C1028" t="s">
        <v>11</v>
      </c>
      <c r="D1028" t="s">
        <v>31</v>
      </c>
      <c r="E1028">
        <v>9</v>
      </c>
      <c r="F1028">
        <v>80</v>
      </c>
      <c r="G1028">
        <v>720</v>
      </c>
      <c r="H1028">
        <v>0.02</v>
      </c>
      <c r="I1028">
        <v>14.4</v>
      </c>
      <c r="J1028" t="s">
        <v>43</v>
      </c>
    </row>
    <row r="1029" spans="1:10" x14ac:dyDescent="0.3">
      <c r="A1029" t="s">
        <v>1059</v>
      </c>
      <c r="B1029" s="1">
        <v>43290</v>
      </c>
      <c r="C1029" t="s">
        <v>19</v>
      </c>
      <c r="D1029" t="s">
        <v>24</v>
      </c>
      <c r="E1029">
        <v>6</v>
      </c>
      <c r="F1029">
        <v>230</v>
      </c>
      <c r="G1029">
        <v>1380</v>
      </c>
      <c r="H1029">
        <v>0.05</v>
      </c>
      <c r="I1029">
        <v>69</v>
      </c>
      <c r="J1029" t="s">
        <v>13</v>
      </c>
    </row>
    <row r="1030" spans="1:10" x14ac:dyDescent="0.3">
      <c r="A1030" t="s">
        <v>1060</v>
      </c>
      <c r="B1030" s="1">
        <v>43290</v>
      </c>
      <c r="C1030" t="s">
        <v>11</v>
      </c>
      <c r="D1030" t="s">
        <v>27</v>
      </c>
      <c r="E1030">
        <v>14</v>
      </c>
      <c r="F1030">
        <v>80</v>
      </c>
      <c r="G1030">
        <v>1120</v>
      </c>
      <c r="H1030">
        <v>0.05</v>
      </c>
      <c r="I1030">
        <v>56</v>
      </c>
      <c r="J1030" t="s">
        <v>17</v>
      </c>
    </row>
    <row r="1031" spans="1:10" x14ac:dyDescent="0.3">
      <c r="A1031" t="s">
        <v>1061</v>
      </c>
      <c r="B1031" s="1">
        <v>43290</v>
      </c>
      <c r="C1031" t="s">
        <v>30</v>
      </c>
      <c r="D1031" t="s">
        <v>31</v>
      </c>
      <c r="E1031">
        <v>17</v>
      </c>
      <c r="F1031">
        <v>16</v>
      </c>
      <c r="G1031">
        <v>272</v>
      </c>
      <c r="H1031">
        <v>0.08</v>
      </c>
      <c r="I1031">
        <v>21.76</v>
      </c>
      <c r="J1031" t="s">
        <v>20</v>
      </c>
    </row>
    <row r="1032" spans="1:10" x14ac:dyDescent="0.3">
      <c r="A1032" t="s">
        <v>1062</v>
      </c>
      <c r="B1032" s="1">
        <v>43290</v>
      </c>
      <c r="C1032" t="s">
        <v>34</v>
      </c>
      <c r="D1032" t="s">
        <v>16</v>
      </c>
      <c r="E1032">
        <v>22</v>
      </c>
      <c r="F1032">
        <v>150</v>
      </c>
      <c r="G1032">
        <v>3300</v>
      </c>
      <c r="H1032">
        <v>0.02</v>
      </c>
      <c r="I1032">
        <v>66</v>
      </c>
      <c r="J1032" t="s">
        <v>22</v>
      </c>
    </row>
    <row r="1033" spans="1:10" x14ac:dyDescent="0.3">
      <c r="A1033" t="s">
        <v>1063</v>
      </c>
      <c r="B1033" s="1">
        <v>43290</v>
      </c>
      <c r="C1033" t="s">
        <v>15</v>
      </c>
      <c r="D1033" t="s">
        <v>31</v>
      </c>
      <c r="E1033">
        <v>17</v>
      </c>
      <c r="F1033">
        <v>40</v>
      </c>
      <c r="G1033">
        <v>680</v>
      </c>
      <c r="H1033">
        <v>0.02</v>
      </c>
      <c r="I1033">
        <v>13.6</v>
      </c>
      <c r="J1033" t="s">
        <v>25</v>
      </c>
    </row>
    <row r="1034" spans="1:10" x14ac:dyDescent="0.3">
      <c r="A1034" t="s">
        <v>1064</v>
      </c>
      <c r="B1034" s="1">
        <v>43290</v>
      </c>
      <c r="C1034" t="s">
        <v>11</v>
      </c>
      <c r="D1034" t="s">
        <v>31</v>
      </c>
      <c r="E1034">
        <v>17</v>
      </c>
      <c r="F1034">
        <v>80</v>
      </c>
      <c r="G1034">
        <v>1360</v>
      </c>
      <c r="H1034">
        <v>7.0000000000000007E-2</v>
      </c>
      <c r="I1034">
        <v>95.2</v>
      </c>
      <c r="J1034" t="s">
        <v>28</v>
      </c>
    </row>
    <row r="1035" spans="1:10" x14ac:dyDescent="0.3">
      <c r="A1035" t="s">
        <v>1065</v>
      </c>
      <c r="B1035" s="1">
        <v>43290</v>
      </c>
      <c r="C1035" t="s">
        <v>34</v>
      </c>
      <c r="D1035" t="s">
        <v>27</v>
      </c>
      <c r="E1035">
        <v>4</v>
      </c>
      <c r="F1035">
        <v>150</v>
      </c>
      <c r="G1035">
        <v>600</v>
      </c>
      <c r="H1035">
        <v>0.12</v>
      </c>
      <c r="I1035">
        <v>72</v>
      </c>
      <c r="J1035" t="s">
        <v>17</v>
      </c>
    </row>
    <row r="1036" spans="1:10" x14ac:dyDescent="0.3">
      <c r="A1036" t="s">
        <v>1066</v>
      </c>
      <c r="B1036" s="1">
        <v>43290</v>
      </c>
      <c r="C1036" t="s">
        <v>30</v>
      </c>
      <c r="D1036" t="s">
        <v>27</v>
      </c>
      <c r="E1036">
        <v>14</v>
      </c>
      <c r="F1036">
        <v>16</v>
      </c>
      <c r="G1036">
        <v>224</v>
      </c>
      <c r="H1036">
        <v>0.12</v>
      </c>
      <c r="I1036">
        <v>26.88</v>
      </c>
      <c r="J1036" t="s">
        <v>20</v>
      </c>
    </row>
    <row r="1037" spans="1:10" x14ac:dyDescent="0.3">
      <c r="A1037" t="s">
        <v>1067</v>
      </c>
      <c r="B1037" s="1">
        <v>43290</v>
      </c>
      <c r="C1037" t="s">
        <v>30</v>
      </c>
      <c r="D1037" t="s">
        <v>12</v>
      </c>
      <c r="E1037">
        <v>18</v>
      </c>
      <c r="F1037">
        <v>16</v>
      </c>
      <c r="G1037">
        <v>288</v>
      </c>
      <c r="H1037">
        <v>0.11</v>
      </c>
      <c r="I1037">
        <v>31.68</v>
      </c>
      <c r="J1037" t="s">
        <v>22</v>
      </c>
    </row>
    <row r="1038" spans="1:10" x14ac:dyDescent="0.3">
      <c r="A1038" t="s">
        <v>1068</v>
      </c>
      <c r="B1038" s="1">
        <v>43290</v>
      </c>
      <c r="C1038" t="s">
        <v>11</v>
      </c>
      <c r="D1038" t="s">
        <v>31</v>
      </c>
      <c r="E1038">
        <v>22</v>
      </c>
      <c r="F1038">
        <v>80</v>
      </c>
      <c r="G1038">
        <v>1760</v>
      </c>
      <c r="H1038">
        <v>0.09</v>
      </c>
      <c r="I1038">
        <v>158.4</v>
      </c>
      <c r="J1038" t="s">
        <v>25</v>
      </c>
    </row>
    <row r="1039" spans="1:10" x14ac:dyDescent="0.3">
      <c r="A1039" t="s">
        <v>1069</v>
      </c>
      <c r="B1039" s="1">
        <v>43290</v>
      </c>
      <c r="C1039" t="s">
        <v>19</v>
      </c>
      <c r="D1039" t="s">
        <v>16</v>
      </c>
      <c r="E1039">
        <v>12</v>
      </c>
      <c r="F1039">
        <v>230</v>
      </c>
      <c r="G1039">
        <v>2760</v>
      </c>
      <c r="H1039">
        <v>0.03</v>
      </c>
      <c r="I1039">
        <v>82.8</v>
      </c>
      <c r="J1039" t="s">
        <v>28</v>
      </c>
    </row>
    <row r="1040" spans="1:10" x14ac:dyDescent="0.3">
      <c r="A1040" t="s">
        <v>1070</v>
      </c>
      <c r="B1040" s="1">
        <v>43290</v>
      </c>
      <c r="C1040" t="s">
        <v>15</v>
      </c>
      <c r="D1040" t="s">
        <v>16</v>
      </c>
      <c r="E1040">
        <v>12</v>
      </c>
      <c r="F1040">
        <v>40</v>
      </c>
      <c r="G1040">
        <v>480</v>
      </c>
      <c r="H1040">
        <v>0.1</v>
      </c>
      <c r="I1040">
        <v>48</v>
      </c>
      <c r="J1040" t="s">
        <v>32</v>
      </c>
    </row>
    <row r="1041" spans="1:10" x14ac:dyDescent="0.3">
      <c r="A1041" t="s">
        <v>1071</v>
      </c>
      <c r="B1041" s="1">
        <v>43291</v>
      </c>
      <c r="C1041" t="s">
        <v>15</v>
      </c>
      <c r="D1041" t="s">
        <v>31</v>
      </c>
      <c r="E1041">
        <v>7</v>
      </c>
      <c r="F1041">
        <v>40</v>
      </c>
      <c r="G1041">
        <v>280</v>
      </c>
      <c r="H1041">
        <v>0.12</v>
      </c>
      <c r="I1041">
        <v>33.6</v>
      </c>
      <c r="J1041" t="s">
        <v>35</v>
      </c>
    </row>
    <row r="1042" spans="1:10" x14ac:dyDescent="0.3">
      <c r="A1042" t="s">
        <v>1072</v>
      </c>
      <c r="B1042" s="1">
        <v>43291</v>
      </c>
      <c r="C1042" t="s">
        <v>11</v>
      </c>
      <c r="D1042" t="s">
        <v>12</v>
      </c>
      <c r="E1042">
        <v>12</v>
      </c>
      <c r="F1042">
        <v>80</v>
      </c>
      <c r="G1042">
        <v>960</v>
      </c>
      <c r="H1042">
        <v>0.04</v>
      </c>
      <c r="I1042">
        <v>38.4</v>
      </c>
      <c r="J1042" t="s">
        <v>37</v>
      </c>
    </row>
    <row r="1043" spans="1:10" x14ac:dyDescent="0.3">
      <c r="A1043" t="s">
        <v>1073</v>
      </c>
      <c r="B1043" s="1">
        <v>43291</v>
      </c>
      <c r="C1043" t="s">
        <v>30</v>
      </c>
      <c r="D1043" t="s">
        <v>31</v>
      </c>
      <c r="E1043">
        <v>17</v>
      </c>
      <c r="F1043">
        <v>16</v>
      </c>
      <c r="G1043">
        <v>272</v>
      </c>
      <c r="H1043">
        <v>0.1</v>
      </c>
      <c r="I1043">
        <v>27.2</v>
      </c>
      <c r="J1043" t="s">
        <v>39</v>
      </c>
    </row>
    <row r="1044" spans="1:10" x14ac:dyDescent="0.3">
      <c r="A1044" t="s">
        <v>1074</v>
      </c>
      <c r="B1044" s="1">
        <v>43291</v>
      </c>
      <c r="C1044" t="s">
        <v>19</v>
      </c>
      <c r="D1044" t="s">
        <v>16</v>
      </c>
      <c r="E1044">
        <v>6</v>
      </c>
      <c r="F1044">
        <v>230</v>
      </c>
      <c r="G1044">
        <v>1380</v>
      </c>
      <c r="H1044">
        <v>0.1</v>
      </c>
      <c r="I1044">
        <v>138</v>
      </c>
      <c r="J1044" t="s">
        <v>41</v>
      </c>
    </row>
    <row r="1045" spans="1:10" x14ac:dyDescent="0.3">
      <c r="A1045" t="s">
        <v>1075</v>
      </c>
      <c r="B1045" s="1">
        <v>43291</v>
      </c>
      <c r="C1045" t="s">
        <v>15</v>
      </c>
      <c r="D1045" t="s">
        <v>12</v>
      </c>
      <c r="E1045">
        <v>11</v>
      </c>
      <c r="F1045">
        <v>40</v>
      </c>
      <c r="G1045">
        <v>440</v>
      </c>
      <c r="H1045">
        <v>0.04</v>
      </c>
      <c r="I1045">
        <v>17.600000000000001</v>
      </c>
      <c r="J1045" t="s">
        <v>43</v>
      </c>
    </row>
    <row r="1046" spans="1:10" x14ac:dyDescent="0.3">
      <c r="A1046" t="s">
        <v>1076</v>
      </c>
      <c r="B1046" s="1">
        <v>43291</v>
      </c>
      <c r="C1046" t="s">
        <v>30</v>
      </c>
      <c r="D1046" t="s">
        <v>27</v>
      </c>
      <c r="E1046">
        <v>10</v>
      </c>
      <c r="F1046">
        <v>16</v>
      </c>
      <c r="G1046">
        <v>160</v>
      </c>
      <c r="H1046">
        <v>0.04</v>
      </c>
      <c r="I1046">
        <v>6.4</v>
      </c>
      <c r="J1046" t="s">
        <v>13</v>
      </c>
    </row>
    <row r="1047" spans="1:10" x14ac:dyDescent="0.3">
      <c r="A1047" t="s">
        <v>1077</v>
      </c>
      <c r="B1047" s="1">
        <v>43291</v>
      </c>
      <c r="C1047" t="s">
        <v>11</v>
      </c>
      <c r="D1047" t="s">
        <v>12</v>
      </c>
      <c r="E1047">
        <v>6</v>
      </c>
      <c r="F1047">
        <v>80</v>
      </c>
      <c r="G1047">
        <v>480</v>
      </c>
      <c r="H1047">
        <v>7.0000000000000007E-2</v>
      </c>
      <c r="I1047">
        <v>33.6</v>
      </c>
      <c r="J1047" t="s">
        <v>17</v>
      </c>
    </row>
    <row r="1048" spans="1:10" x14ac:dyDescent="0.3">
      <c r="A1048" t="s">
        <v>1078</v>
      </c>
      <c r="B1048" s="1">
        <v>43291</v>
      </c>
      <c r="C1048" t="s">
        <v>15</v>
      </c>
      <c r="D1048" t="s">
        <v>27</v>
      </c>
      <c r="E1048">
        <v>11</v>
      </c>
      <c r="F1048">
        <v>40</v>
      </c>
      <c r="G1048">
        <v>440</v>
      </c>
      <c r="H1048">
        <v>0.09</v>
      </c>
      <c r="I1048">
        <v>39.6</v>
      </c>
      <c r="J1048" t="s">
        <v>20</v>
      </c>
    </row>
    <row r="1049" spans="1:10" x14ac:dyDescent="0.3">
      <c r="A1049" t="s">
        <v>1079</v>
      </c>
      <c r="B1049" s="1">
        <v>43291</v>
      </c>
      <c r="C1049" t="s">
        <v>11</v>
      </c>
      <c r="D1049" t="s">
        <v>31</v>
      </c>
      <c r="E1049">
        <v>16</v>
      </c>
      <c r="F1049">
        <v>80</v>
      </c>
      <c r="G1049">
        <v>1280</v>
      </c>
      <c r="H1049">
        <v>0.09</v>
      </c>
      <c r="I1049">
        <v>115.2</v>
      </c>
      <c r="J1049" t="s">
        <v>22</v>
      </c>
    </row>
    <row r="1050" spans="1:10" x14ac:dyDescent="0.3">
      <c r="A1050" t="s">
        <v>1080</v>
      </c>
      <c r="B1050" s="1">
        <v>43291</v>
      </c>
      <c r="C1050" t="s">
        <v>15</v>
      </c>
      <c r="D1050" t="s">
        <v>27</v>
      </c>
      <c r="E1050">
        <v>13</v>
      </c>
      <c r="F1050">
        <v>40</v>
      </c>
      <c r="G1050">
        <v>520</v>
      </c>
      <c r="H1050">
        <v>0.09</v>
      </c>
      <c r="I1050">
        <v>46.8</v>
      </c>
      <c r="J1050" t="s">
        <v>25</v>
      </c>
    </row>
    <row r="1051" spans="1:10" x14ac:dyDescent="0.3">
      <c r="A1051" t="s">
        <v>1081</v>
      </c>
      <c r="B1051" s="1">
        <v>43291</v>
      </c>
      <c r="C1051" t="s">
        <v>19</v>
      </c>
      <c r="D1051" t="s">
        <v>12</v>
      </c>
      <c r="E1051">
        <v>5</v>
      </c>
      <c r="F1051">
        <v>230</v>
      </c>
      <c r="G1051">
        <v>1150</v>
      </c>
      <c r="H1051">
        <v>0.1</v>
      </c>
      <c r="I1051">
        <v>115</v>
      </c>
      <c r="J1051" t="s">
        <v>28</v>
      </c>
    </row>
    <row r="1052" spans="1:10" x14ac:dyDescent="0.3">
      <c r="A1052" t="s">
        <v>1082</v>
      </c>
      <c r="B1052" s="1">
        <v>43292</v>
      </c>
      <c r="C1052" t="s">
        <v>15</v>
      </c>
      <c r="D1052" t="s">
        <v>31</v>
      </c>
      <c r="E1052">
        <v>7</v>
      </c>
      <c r="F1052">
        <v>40</v>
      </c>
      <c r="G1052">
        <v>280</v>
      </c>
      <c r="H1052">
        <v>0.05</v>
      </c>
      <c r="I1052">
        <v>14</v>
      </c>
      <c r="J1052" t="s">
        <v>17</v>
      </c>
    </row>
    <row r="1053" spans="1:10" x14ac:dyDescent="0.3">
      <c r="A1053" t="s">
        <v>1083</v>
      </c>
      <c r="B1053" s="1">
        <v>43292</v>
      </c>
      <c r="C1053" t="s">
        <v>11</v>
      </c>
      <c r="D1053" t="s">
        <v>24</v>
      </c>
      <c r="E1053">
        <v>14</v>
      </c>
      <c r="F1053">
        <v>80</v>
      </c>
      <c r="G1053">
        <v>1120</v>
      </c>
      <c r="H1053">
        <v>0.1</v>
      </c>
      <c r="I1053">
        <v>112</v>
      </c>
      <c r="J1053" t="s">
        <v>20</v>
      </c>
    </row>
    <row r="1054" spans="1:10" x14ac:dyDescent="0.3">
      <c r="A1054" t="s">
        <v>1084</v>
      </c>
      <c r="B1054" s="1">
        <v>43292</v>
      </c>
      <c r="C1054" t="s">
        <v>30</v>
      </c>
      <c r="D1054" t="s">
        <v>31</v>
      </c>
      <c r="E1054">
        <v>12</v>
      </c>
      <c r="F1054">
        <v>16</v>
      </c>
      <c r="G1054">
        <v>192</v>
      </c>
      <c r="H1054">
        <v>0.04</v>
      </c>
      <c r="I1054">
        <v>7.68</v>
      </c>
      <c r="J1054" t="s">
        <v>22</v>
      </c>
    </row>
    <row r="1055" spans="1:10" x14ac:dyDescent="0.3">
      <c r="A1055" t="s">
        <v>1085</v>
      </c>
      <c r="B1055" s="1">
        <v>43292</v>
      </c>
      <c r="C1055" t="s">
        <v>19</v>
      </c>
      <c r="D1055" t="s">
        <v>24</v>
      </c>
      <c r="E1055">
        <v>14</v>
      </c>
      <c r="F1055">
        <v>230</v>
      </c>
      <c r="G1055">
        <v>3220</v>
      </c>
      <c r="H1055">
        <v>0.03</v>
      </c>
      <c r="I1055">
        <v>96.6</v>
      </c>
      <c r="J1055" t="s">
        <v>25</v>
      </c>
    </row>
    <row r="1056" spans="1:10" x14ac:dyDescent="0.3">
      <c r="A1056" t="s">
        <v>1086</v>
      </c>
      <c r="B1056" s="1">
        <v>43292</v>
      </c>
      <c r="C1056" t="s">
        <v>11</v>
      </c>
      <c r="D1056" t="s">
        <v>31</v>
      </c>
      <c r="E1056">
        <v>21</v>
      </c>
      <c r="F1056">
        <v>80</v>
      </c>
      <c r="G1056">
        <v>1680</v>
      </c>
      <c r="H1056">
        <v>0.09</v>
      </c>
      <c r="I1056">
        <v>151.19999999999999</v>
      </c>
      <c r="J1056" t="s">
        <v>28</v>
      </c>
    </row>
    <row r="1057" spans="1:10" x14ac:dyDescent="0.3">
      <c r="A1057" t="s">
        <v>1087</v>
      </c>
      <c r="B1057" s="1">
        <v>43292</v>
      </c>
      <c r="C1057" t="s">
        <v>19</v>
      </c>
      <c r="D1057" t="s">
        <v>24</v>
      </c>
      <c r="E1057">
        <v>5</v>
      </c>
      <c r="F1057">
        <v>230</v>
      </c>
      <c r="G1057">
        <v>1150</v>
      </c>
      <c r="H1057">
        <v>0.1</v>
      </c>
      <c r="I1057">
        <v>115</v>
      </c>
      <c r="J1057" t="s">
        <v>32</v>
      </c>
    </row>
    <row r="1058" spans="1:10" x14ac:dyDescent="0.3">
      <c r="A1058" t="s">
        <v>1088</v>
      </c>
      <c r="B1058" s="1">
        <v>43292</v>
      </c>
      <c r="C1058" t="s">
        <v>15</v>
      </c>
      <c r="D1058" t="s">
        <v>31</v>
      </c>
      <c r="E1058">
        <v>16</v>
      </c>
      <c r="F1058">
        <v>40</v>
      </c>
      <c r="G1058">
        <v>640</v>
      </c>
      <c r="H1058">
        <v>0.09</v>
      </c>
      <c r="I1058">
        <v>57.6</v>
      </c>
      <c r="J1058" t="s">
        <v>35</v>
      </c>
    </row>
    <row r="1059" spans="1:10" x14ac:dyDescent="0.3">
      <c r="A1059" t="s">
        <v>1089</v>
      </c>
      <c r="B1059" s="1">
        <v>43292</v>
      </c>
      <c r="C1059" t="s">
        <v>34</v>
      </c>
      <c r="D1059" t="s">
        <v>16</v>
      </c>
      <c r="E1059">
        <v>15</v>
      </c>
      <c r="F1059">
        <v>150</v>
      </c>
      <c r="G1059">
        <v>2250</v>
      </c>
      <c r="H1059">
        <v>0.12</v>
      </c>
      <c r="I1059">
        <v>270</v>
      </c>
      <c r="J1059" t="s">
        <v>37</v>
      </c>
    </row>
    <row r="1060" spans="1:10" x14ac:dyDescent="0.3">
      <c r="A1060" t="s">
        <v>1090</v>
      </c>
      <c r="B1060" s="1">
        <v>43292</v>
      </c>
      <c r="C1060" t="s">
        <v>30</v>
      </c>
      <c r="D1060" t="s">
        <v>31</v>
      </c>
      <c r="E1060">
        <v>23</v>
      </c>
      <c r="F1060">
        <v>16</v>
      </c>
      <c r="G1060">
        <v>368</v>
      </c>
      <c r="H1060">
        <v>0.01</v>
      </c>
      <c r="I1060">
        <v>3.68</v>
      </c>
      <c r="J1060" t="s">
        <v>39</v>
      </c>
    </row>
    <row r="1061" spans="1:10" x14ac:dyDescent="0.3">
      <c r="A1061" t="s">
        <v>1091</v>
      </c>
      <c r="B1061" s="1">
        <v>43292</v>
      </c>
      <c r="C1061" t="s">
        <v>30</v>
      </c>
      <c r="D1061" t="s">
        <v>16</v>
      </c>
      <c r="E1061">
        <v>22</v>
      </c>
      <c r="F1061">
        <v>16</v>
      </c>
      <c r="G1061">
        <v>352</v>
      </c>
      <c r="H1061">
        <v>0.04</v>
      </c>
      <c r="I1061">
        <v>14.08</v>
      </c>
      <c r="J1061" t="s">
        <v>41</v>
      </c>
    </row>
    <row r="1062" spans="1:10" x14ac:dyDescent="0.3">
      <c r="A1062" t="s">
        <v>1092</v>
      </c>
      <c r="B1062" s="1">
        <v>43292</v>
      </c>
      <c r="C1062" t="s">
        <v>11</v>
      </c>
      <c r="D1062" t="s">
        <v>12</v>
      </c>
      <c r="E1062">
        <v>20</v>
      </c>
      <c r="F1062">
        <v>80</v>
      </c>
      <c r="G1062">
        <v>1600</v>
      </c>
      <c r="H1062">
        <v>0.01</v>
      </c>
      <c r="I1062">
        <v>16</v>
      </c>
      <c r="J1062" t="s">
        <v>43</v>
      </c>
    </row>
    <row r="1063" spans="1:10" x14ac:dyDescent="0.3">
      <c r="A1063" t="s">
        <v>1093</v>
      </c>
      <c r="B1063" s="1">
        <v>43292</v>
      </c>
      <c r="C1063" t="s">
        <v>15</v>
      </c>
      <c r="D1063" t="s">
        <v>27</v>
      </c>
      <c r="E1063">
        <v>6</v>
      </c>
      <c r="F1063">
        <v>40</v>
      </c>
      <c r="G1063">
        <v>240</v>
      </c>
      <c r="H1063">
        <v>7.0000000000000007E-2</v>
      </c>
      <c r="I1063">
        <v>16.8</v>
      </c>
      <c r="J1063" t="s">
        <v>13</v>
      </c>
    </row>
    <row r="1064" spans="1:10" x14ac:dyDescent="0.3">
      <c r="A1064" t="s">
        <v>1094</v>
      </c>
      <c r="B1064" s="1">
        <v>43293</v>
      </c>
      <c r="C1064" t="s">
        <v>34</v>
      </c>
      <c r="D1064" t="s">
        <v>16</v>
      </c>
      <c r="E1064">
        <v>10</v>
      </c>
      <c r="F1064">
        <v>150</v>
      </c>
      <c r="G1064">
        <v>1500</v>
      </c>
      <c r="H1064">
        <v>0.01</v>
      </c>
      <c r="I1064">
        <v>15</v>
      </c>
      <c r="J1064" t="s">
        <v>17</v>
      </c>
    </row>
    <row r="1065" spans="1:10" x14ac:dyDescent="0.3">
      <c r="A1065" t="s">
        <v>1095</v>
      </c>
      <c r="B1065" s="1">
        <v>43293</v>
      </c>
      <c r="C1065" t="s">
        <v>11</v>
      </c>
      <c r="D1065" t="s">
        <v>27</v>
      </c>
      <c r="E1065">
        <v>17</v>
      </c>
      <c r="F1065">
        <v>80</v>
      </c>
      <c r="G1065">
        <v>1360</v>
      </c>
      <c r="H1065">
        <v>0.05</v>
      </c>
      <c r="I1065">
        <v>68</v>
      </c>
      <c r="J1065" t="s">
        <v>20</v>
      </c>
    </row>
    <row r="1066" spans="1:10" x14ac:dyDescent="0.3">
      <c r="A1066" t="s">
        <v>1096</v>
      </c>
      <c r="B1066" s="1">
        <v>43293</v>
      </c>
      <c r="C1066" t="s">
        <v>34</v>
      </c>
      <c r="D1066" t="s">
        <v>12</v>
      </c>
      <c r="E1066">
        <v>13</v>
      </c>
      <c r="F1066">
        <v>150</v>
      </c>
      <c r="G1066">
        <v>1950</v>
      </c>
      <c r="H1066">
        <v>0.05</v>
      </c>
      <c r="I1066">
        <v>97.5</v>
      </c>
      <c r="J1066" t="s">
        <v>22</v>
      </c>
    </row>
    <row r="1067" spans="1:10" x14ac:dyDescent="0.3">
      <c r="A1067" t="s">
        <v>1097</v>
      </c>
      <c r="B1067" s="1">
        <v>43293</v>
      </c>
      <c r="C1067" t="s">
        <v>19</v>
      </c>
      <c r="D1067" t="s">
        <v>27</v>
      </c>
      <c r="E1067">
        <v>8</v>
      </c>
      <c r="F1067">
        <v>230</v>
      </c>
      <c r="G1067">
        <v>1840</v>
      </c>
      <c r="H1067">
        <v>0.05</v>
      </c>
      <c r="I1067">
        <v>92</v>
      </c>
      <c r="J1067" t="s">
        <v>25</v>
      </c>
    </row>
    <row r="1068" spans="1:10" x14ac:dyDescent="0.3">
      <c r="A1068" t="s">
        <v>1098</v>
      </c>
      <c r="B1068" s="1">
        <v>43293</v>
      </c>
      <c r="C1068" t="s">
        <v>30</v>
      </c>
      <c r="D1068" t="s">
        <v>12</v>
      </c>
      <c r="E1068">
        <v>10</v>
      </c>
      <c r="F1068">
        <v>16</v>
      </c>
      <c r="G1068">
        <v>160</v>
      </c>
      <c r="H1068">
        <v>0.08</v>
      </c>
      <c r="I1068">
        <v>12.8</v>
      </c>
      <c r="J1068" t="s">
        <v>28</v>
      </c>
    </row>
    <row r="1069" spans="1:10" x14ac:dyDescent="0.3">
      <c r="A1069" t="s">
        <v>1099</v>
      </c>
      <c r="B1069" s="1">
        <v>43293</v>
      </c>
      <c r="C1069" t="s">
        <v>15</v>
      </c>
      <c r="D1069" t="s">
        <v>16</v>
      </c>
      <c r="E1069">
        <v>4</v>
      </c>
      <c r="F1069">
        <v>40</v>
      </c>
      <c r="G1069">
        <v>160</v>
      </c>
      <c r="H1069">
        <v>0.06</v>
      </c>
      <c r="I1069">
        <v>9.6</v>
      </c>
      <c r="J1069" t="s">
        <v>17</v>
      </c>
    </row>
    <row r="1070" spans="1:10" x14ac:dyDescent="0.3">
      <c r="A1070" t="s">
        <v>1100</v>
      </c>
      <c r="B1070" s="1">
        <v>43293</v>
      </c>
      <c r="C1070" t="s">
        <v>15</v>
      </c>
      <c r="D1070" t="s">
        <v>31</v>
      </c>
      <c r="E1070">
        <v>18</v>
      </c>
      <c r="F1070">
        <v>40</v>
      </c>
      <c r="G1070">
        <v>720</v>
      </c>
      <c r="H1070">
        <v>0.06</v>
      </c>
      <c r="I1070">
        <v>43.2</v>
      </c>
      <c r="J1070" t="s">
        <v>20</v>
      </c>
    </row>
    <row r="1071" spans="1:10" x14ac:dyDescent="0.3">
      <c r="A1071" t="s">
        <v>1101</v>
      </c>
      <c r="B1071" s="1">
        <v>43293</v>
      </c>
      <c r="C1071" t="s">
        <v>34</v>
      </c>
      <c r="D1071" t="s">
        <v>27</v>
      </c>
      <c r="E1071">
        <v>15</v>
      </c>
      <c r="F1071">
        <v>150</v>
      </c>
      <c r="G1071">
        <v>2250</v>
      </c>
      <c r="H1071">
        <v>0.05</v>
      </c>
      <c r="I1071">
        <v>112.5</v>
      </c>
      <c r="J1071" t="s">
        <v>22</v>
      </c>
    </row>
    <row r="1072" spans="1:10" x14ac:dyDescent="0.3">
      <c r="A1072" t="s">
        <v>1102</v>
      </c>
      <c r="B1072" s="1">
        <v>43293</v>
      </c>
      <c r="C1072" t="s">
        <v>34</v>
      </c>
      <c r="D1072" t="s">
        <v>27</v>
      </c>
      <c r="E1072">
        <v>3</v>
      </c>
      <c r="F1072">
        <v>150</v>
      </c>
      <c r="G1072">
        <v>450</v>
      </c>
      <c r="H1072">
        <v>0.01</v>
      </c>
      <c r="I1072">
        <v>4.5</v>
      </c>
      <c r="J1072" t="s">
        <v>25</v>
      </c>
    </row>
    <row r="1073" spans="1:10" x14ac:dyDescent="0.3">
      <c r="A1073" t="s">
        <v>1103</v>
      </c>
      <c r="B1073" s="1">
        <v>43293</v>
      </c>
      <c r="C1073" t="s">
        <v>30</v>
      </c>
      <c r="D1073" t="s">
        <v>12</v>
      </c>
      <c r="E1073">
        <v>12</v>
      </c>
      <c r="F1073">
        <v>16</v>
      </c>
      <c r="G1073">
        <v>192</v>
      </c>
      <c r="H1073">
        <v>0.11</v>
      </c>
      <c r="I1073">
        <v>21.12</v>
      </c>
      <c r="J1073" t="s">
        <v>28</v>
      </c>
    </row>
    <row r="1074" spans="1:10" x14ac:dyDescent="0.3">
      <c r="A1074" t="s">
        <v>1104</v>
      </c>
      <c r="B1074" s="1">
        <v>43294</v>
      </c>
      <c r="C1074" t="s">
        <v>11</v>
      </c>
      <c r="D1074" t="s">
        <v>31</v>
      </c>
      <c r="E1074">
        <v>17</v>
      </c>
      <c r="F1074">
        <v>80</v>
      </c>
      <c r="G1074">
        <v>1360</v>
      </c>
      <c r="H1074">
        <v>7.0000000000000007E-2</v>
      </c>
      <c r="I1074">
        <v>95.2</v>
      </c>
      <c r="J1074" t="s">
        <v>32</v>
      </c>
    </row>
    <row r="1075" spans="1:10" x14ac:dyDescent="0.3">
      <c r="A1075" t="s">
        <v>1105</v>
      </c>
      <c r="B1075" s="1">
        <v>43294</v>
      </c>
      <c r="C1075" t="s">
        <v>19</v>
      </c>
      <c r="D1075" t="s">
        <v>12</v>
      </c>
      <c r="E1075">
        <v>3</v>
      </c>
      <c r="F1075">
        <v>230</v>
      </c>
      <c r="G1075">
        <v>690</v>
      </c>
      <c r="H1075">
        <v>0.06</v>
      </c>
      <c r="I1075">
        <v>41.4</v>
      </c>
      <c r="J1075" t="s">
        <v>35</v>
      </c>
    </row>
    <row r="1076" spans="1:10" x14ac:dyDescent="0.3">
      <c r="A1076" t="s">
        <v>1106</v>
      </c>
      <c r="B1076" s="1">
        <v>43294</v>
      </c>
      <c r="C1076" t="s">
        <v>11</v>
      </c>
      <c r="D1076" t="s">
        <v>24</v>
      </c>
      <c r="E1076">
        <v>20</v>
      </c>
      <c r="F1076">
        <v>80</v>
      </c>
      <c r="G1076">
        <v>1600</v>
      </c>
      <c r="H1076">
        <v>7.0000000000000007E-2</v>
      </c>
      <c r="I1076">
        <v>112</v>
      </c>
      <c r="J1076" t="s">
        <v>37</v>
      </c>
    </row>
    <row r="1077" spans="1:10" x14ac:dyDescent="0.3">
      <c r="A1077" t="s">
        <v>1107</v>
      </c>
      <c r="B1077" s="1">
        <v>43294</v>
      </c>
      <c r="C1077" t="s">
        <v>19</v>
      </c>
      <c r="D1077" t="s">
        <v>16</v>
      </c>
      <c r="E1077">
        <v>14</v>
      </c>
      <c r="F1077">
        <v>230</v>
      </c>
      <c r="G1077">
        <v>3220</v>
      </c>
      <c r="H1077">
        <v>0.05</v>
      </c>
      <c r="I1077">
        <v>161</v>
      </c>
      <c r="J1077" t="s">
        <v>39</v>
      </c>
    </row>
    <row r="1078" spans="1:10" x14ac:dyDescent="0.3">
      <c r="A1078" t="s">
        <v>1108</v>
      </c>
      <c r="B1078" s="1">
        <v>43294</v>
      </c>
      <c r="C1078" t="s">
        <v>15</v>
      </c>
      <c r="D1078" t="s">
        <v>31</v>
      </c>
      <c r="E1078">
        <v>16</v>
      </c>
      <c r="F1078">
        <v>40</v>
      </c>
      <c r="G1078">
        <v>640</v>
      </c>
      <c r="H1078">
        <v>0.09</v>
      </c>
      <c r="I1078">
        <v>57.6</v>
      </c>
      <c r="J1078" t="s">
        <v>41</v>
      </c>
    </row>
    <row r="1079" spans="1:10" x14ac:dyDescent="0.3">
      <c r="A1079" t="s">
        <v>1109</v>
      </c>
      <c r="B1079" s="1">
        <v>43294</v>
      </c>
      <c r="C1079" t="s">
        <v>30</v>
      </c>
      <c r="D1079" t="s">
        <v>16</v>
      </c>
      <c r="E1079">
        <v>7</v>
      </c>
      <c r="F1079">
        <v>16</v>
      </c>
      <c r="G1079">
        <v>112</v>
      </c>
      <c r="H1079">
        <v>0.08</v>
      </c>
      <c r="I1079">
        <v>8.9600000000000009</v>
      </c>
      <c r="J1079" t="s">
        <v>43</v>
      </c>
    </row>
    <row r="1080" spans="1:10" x14ac:dyDescent="0.3">
      <c r="A1080" t="s">
        <v>1110</v>
      </c>
      <c r="B1080" s="1">
        <v>43294</v>
      </c>
      <c r="C1080" t="s">
        <v>15</v>
      </c>
      <c r="D1080" t="s">
        <v>16</v>
      </c>
      <c r="E1080">
        <v>19</v>
      </c>
      <c r="F1080">
        <v>40</v>
      </c>
      <c r="G1080">
        <v>760</v>
      </c>
      <c r="H1080">
        <v>0.1</v>
      </c>
      <c r="I1080">
        <v>76</v>
      </c>
      <c r="J1080" t="s">
        <v>13</v>
      </c>
    </row>
    <row r="1081" spans="1:10" x14ac:dyDescent="0.3">
      <c r="A1081" t="s">
        <v>1111</v>
      </c>
      <c r="B1081" s="1">
        <v>43294</v>
      </c>
      <c r="C1081" t="s">
        <v>19</v>
      </c>
      <c r="D1081" t="s">
        <v>27</v>
      </c>
      <c r="E1081">
        <v>7</v>
      </c>
      <c r="F1081">
        <v>230</v>
      </c>
      <c r="G1081">
        <v>1610</v>
      </c>
      <c r="H1081">
        <v>0.06</v>
      </c>
      <c r="I1081">
        <v>96.6</v>
      </c>
      <c r="J1081" t="s">
        <v>17</v>
      </c>
    </row>
    <row r="1082" spans="1:10" x14ac:dyDescent="0.3">
      <c r="A1082" t="s">
        <v>1112</v>
      </c>
      <c r="B1082" s="1">
        <v>43294</v>
      </c>
      <c r="C1082" t="s">
        <v>15</v>
      </c>
      <c r="D1082" t="s">
        <v>31</v>
      </c>
      <c r="E1082">
        <v>20</v>
      </c>
      <c r="F1082">
        <v>40</v>
      </c>
      <c r="G1082">
        <v>800</v>
      </c>
      <c r="H1082">
        <v>0.03</v>
      </c>
      <c r="I1082">
        <v>24</v>
      </c>
      <c r="J1082" t="s">
        <v>20</v>
      </c>
    </row>
    <row r="1083" spans="1:10" x14ac:dyDescent="0.3">
      <c r="A1083" t="s">
        <v>1113</v>
      </c>
      <c r="B1083" s="1">
        <v>43294</v>
      </c>
      <c r="C1083" t="s">
        <v>30</v>
      </c>
      <c r="D1083" t="s">
        <v>24</v>
      </c>
      <c r="E1083">
        <v>11</v>
      </c>
      <c r="F1083">
        <v>16</v>
      </c>
      <c r="G1083">
        <v>176</v>
      </c>
      <c r="H1083">
        <v>0.12</v>
      </c>
      <c r="I1083">
        <v>21.12</v>
      </c>
      <c r="J1083" t="s">
        <v>22</v>
      </c>
    </row>
    <row r="1084" spans="1:10" x14ac:dyDescent="0.3">
      <c r="A1084" t="s">
        <v>1114</v>
      </c>
      <c r="B1084" s="1">
        <v>43294</v>
      </c>
      <c r="C1084" t="s">
        <v>11</v>
      </c>
      <c r="D1084" t="s">
        <v>31</v>
      </c>
      <c r="E1084">
        <v>16</v>
      </c>
      <c r="F1084">
        <v>80</v>
      </c>
      <c r="G1084">
        <v>1280</v>
      </c>
      <c r="H1084">
        <v>0.09</v>
      </c>
      <c r="I1084">
        <v>115.2</v>
      </c>
      <c r="J1084" t="s">
        <v>25</v>
      </c>
    </row>
    <row r="1085" spans="1:10" x14ac:dyDescent="0.3">
      <c r="A1085" t="s">
        <v>1115</v>
      </c>
      <c r="B1085" s="1">
        <v>43294</v>
      </c>
      <c r="C1085" t="s">
        <v>30</v>
      </c>
      <c r="D1085" t="s">
        <v>12</v>
      </c>
      <c r="E1085">
        <v>21</v>
      </c>
      <c r="F1085">
        <v>16</v>
      </c>
      <c r="G1085">
        <v>336</v>
      </c>
      <c r="H1085">
        <v>0.09</v>
      </c>
      <c r="I1085">
        <v>30.24</v>
      </c>
      <c r="J1085" t="s">
        <v>28</v>
      </c>
    </row>
    <row r="1086" spans="1:10" x14ac:dyDescent="0.3">
      <c r="A1086" t="s">
        <v>1116</v>
      </c>
      <c r="B1086" s="1">
        <v>43294</v>
      </c>
      <c r="C1086" t="s">
        <v>30</v>
      </c>
      <c r="D1086" t="s">
        <v>12</v>
      </c>
      <c r="E1086">
        <v>22</v>
      </c>
      <c r="F1086">
        <v>16</v>
      </c>
      <c r="G1086">
        <v>352</v>
      </c>
      <c r="H1086">
        <v>0.01</v>
      </c>
      <c r="I1086">
        <v>3.52</v>
      </c>
      <c r="J1086" t="s">
        <v>17</v>
      </c>
    </row>
    <row r="1087" spans="1:10" x14ac:dyDescent="0.3">
      <c r="A1087" t="s">
        <v>1117</v>
      </c>
      <c r="B1087" s="1">
        <v>43294</v>
      </c>
      <c r="C1087" t="s">
        <v>19</v>
      </c>
      <c r="D1087" t="s">
        <v>27</v>
      </c>
      <c r="E1087">
        <v>23</v>
      </c>
      <c r="F1087">
        <v>230</v>
      </c>
      <c r="G1087">
        <v>5290</v>
      </c>
      <c r="H1087">
        <v>0.06</v>
      </c>
      <c r="I1087">
        <v>317.39999999999998</v>
      </c>
      <c r="J1087" t="s">
        <v>20</v>
      </c>
    </row>
    <row r="1088" spans="1:10" x14ac:dyDescent="0.3">
      <c r="A1088" t="s">
        <v>1118</v>
      </c>
      <c r="B1088" s="1">
        <v>43294</v>
      </c>
      <c r="C1088" t="s">
        <v>34</v>
      </c>
      <c r="D1088" t="s">
        <v>12</v>
      </c>
      <c r="E1088">
        <v>9</v>
      </c>
      <c r="F1088">
        <v>150</v>
      </c>
      <c r="G1088">
        <v>1350</v>
      </c>
      <c r="H1088">
        <v>0.1</v>
      </c>
      <c r="I1088">
        <v>135</v>
      </c>
      <c r="J1088" t="s">
        <v>22</v>
      </c>
    </row>
    <row r="1089" spans="1:10" x14ac:dyDescent="0.3">
      <c r="A1089" t="s">
        <v>1119</v>
      </c>
      <c r="B1089" s="1">
        <v>43294</v>
      </c>
      <c r="C1089" t="s">
        <v>34</v>
      </c>
      <c r="D1089" t="s">
        <v>24</v>
      </c>
      <c r="E1089">
        <v>9</v>
      </c>
      <c r="F1089">
        <v>150</v>
      </c>
      <c r="G1089">
        <v>1350</v>
      </c>
      <c r="H1089">
        <v>0.06</v>
      </c>
      <c r="I1089">
        <v>81</v>
      </c>
      <c r="J1089" t="s">
        <v>25</v>
      </c>
    </row>
    <row r="1090" spans="1:10" x14ac:dyDescent="0.3">
      <c r="A1090" t="s">
        <v>1120</v>
      </c>
      <c r="B1090" s="1">
        <v>43295</v>
      </c>
      <c r="C1090" t="s">
        <v>19</v>
      </c>
      <c r="D1090" t="s">
        <v>12</v>
      </c>
      <c r="E1090">
        <v>9</v>
      </c>
      <c r="F1090">
        <v>230</v>
      </c>
      <c r="G1090">
        <v>2070</v>
      </c>
      <c r="H1090">
        <v>7.0000000000000007E-2</v>
      </c>
      <c r="I1090">
        <v>144.9</v>
      </c>
      <c r="J1090" t="s">
        <v>28</v>
      </c>
    </row>
    <row r="1091" spans="1:10" x14ac:dyDescent="0.3">
      <c r="A1091" t="s">
        <v>1121</v>
      </c>
      <c r="B1091" s="1">
        <v>43295</v>
      </c>
      <c r="C1091" t="s">
        <v>11</v>
      </c>
      <c r="D1091" t="s">
        <v>24</v>
      </c>
      <c r="E1091">
        <v>10</v>
      </c>
      <c r="F1091">
        <v>80</v>
      </c>
      <c r="G1091">
        <v>800</v>
      </c>
      <c r="H1091">
        <v>0.08</v>
      </c>
      <c r="I1091">
        <v>64</v>
      </c>
      <c r="J1091" t="s">
        <v>32</v>
      </c>
    </row>
    <row r="1092" spans="1:10" x14ac:dyDescent="0.3">
      <c r="A1092" t="s">
        <v>1122</v>
      </c>
      <c r="B1092" s="1">
        <v>43295</v>
      </c>
      <c r="C1092" t="s">
        <v>30</v>
      </c>
      <c r="D1092" t="s">
        <v>24</v>
      </c>
      <c r="E1092">
        <v>23</v>
      </c>
      <c r="F1092">
        <v>16</v>
      </c>
      <c r="G1092">
        <v>368</v>
      </c>
      <c r="H1092">
        <v>0.11</v>
      </c>
      <c r="I1092">
        <v>40.479999999999997</v>
      </c>
      <c r="J1092" t="s">
        <v>35</v>
      </c>
    </row>
    <row r="1093" spans="1:10" x14ac:dyDescent="0.3">
      <c r="A1093" t="s">
        <v>1123</v>
      </c>
      <c r="B1093" s="1">
        <v>43295</v>
      </c>
      <c r="C1093" t="s">
        <v>11</v>
      </c>
      <c r="D1093" t="s">
        <v>27</v>
      </c>
      <c r="E1093">
        <v>22</v>
      </c>
      <c r="F1093">
        <v>80</v>
      </c>
      <c r="G1093">
        <v>1760</v>
      </c>
      <c r="H1093">
        <v>0.03</v>
      </c>
      <c r="I1093">
        <v>52.8</v>
      </c>
      <c r="J1093" t="s">
        <v>37</v>
      </c>
    </row>
    <row r="1094" spans="1:10" x14ac:dyDescent="0.3">
      <c r="A1094" t="s">
        <v>1124</v>
      </c>
      <c r="B1094" s="1">
        <v>43295</v>
      </c>
      <c r="C1094" t="s">
        <v>11</v>
      </c>
      <c r="D1094" t="s">
        <v>27</v>
      </c>
      <c r="E1094">
        <v>4</v>
      </c>
      <c r="F1094">
        <v>80</v>
      </c>
      <c r="G1094">
        <v>320</v>
      </c>
      <c r="H1094">
        <v>0.11</v>
      </c>
      <c r="I1094">
        <v>35.200000000000003</v>
      </c>
      <c r="J1094" t="s">
        <v>39</v>
      </c>
    </row>
    <row r="1095" spans="1:10" x14ac:dyDescent="0.3">
      <c r="A1095" t="s">
        <v>1125</v>
      </c>
      <c r="B1095" s="1">
        <v>43295</v>
      </c>
      <c r="C1095" t="s">
        <v>30</v>
      </c>
      <c r="D1095" t="s">
        <v>12</v>
      </c>
      <c r="E1095">
        <v>22</v>
      </c>
      <c r="F1095">
        <v>16</v>
      </c>
      <c r="G1095">
        <v>352</v>
      </c>
      <c r="H1095">
        <v>0.06</v>
      </c>
      <c r="I1095">
        <v>21.12</v>
      </c>
      <c r="J1095" t="s">
        <v>41</v>
      </c>
    </row>
    <row r="1096" spans="1:10" x14ac:dyDescent="0.3">
      <c r="A1096" t="s">
        <v>1126</v>
      </c>
      <c r="B1096" s="1">
        <v>43295</v>
      </c>
      <c r="C1096" t="s">
        <v>15</v>
      </c>
      <c r="D1096" t="s">
        <v>16</v>
      </c>
      <c r="E1096">
        <v>15</v>
      </c>
      <c r="F1096">
        <v>40</v>
      </c>
      <c r="G1096">
        <v>600</v>
      </c>
      <c r="H1096">
        <v>0.02</v>
      </c>
      <c r="I1096">
        <v>12</v>
      </c>
      <c r="J1096" t="s">
        <v>43</v>
      </c>
    </row>
    <row r="1097" spans="1:10" x14ac:dyDescent="0.3">
      <c r="A1097" t="s">
        <v>1127</v>
      </c>
      <c r="B1097" s="1">
        <v>43295</v>
      </c>
      <c r="C1097" t="s">
        <v>15</v>
      </c>
      <c r="D1097" t="s">
        <v>31</v>
      </c>
      <c r="E1097">
        <v>7</v>
      </c>
      <c r="F1097">
        <v>40</v>
      </c>
      <c r="G1097">
        <v>280</v>
      </c>
      <c r="H1097">
        <v>0.04</v>
      </c>
      <c r="I1097">
        <v>11.2</v>
      </c>
      <c r="J1097" t="s">
        <v>13</v>
      </c>
    </row>
    <row r="1098" spans="1:10" x14ac:dyDescent="0.3">
      <c r="A1098" t="s">
        <v>1128</v>
      </c>
      <c r="B1098" s="1">
        <v>43295</v>
      </c>
      <c r="C1098" t="s">
        <v>30</v>
      </c>
      <c r="D1098" t="s">
        <v>31</v>
      </c>
      <c r="E1098">
        <v>2</v>
      </c>
      <c r="F1098">
        <v>16</v>
      </c>
      <c r="G1098">
        <v>32</v>
      </c>
      <c r="H1098">
        <v>0.04</v>
      </c>
      <c r="I1098">
        <v>1.28</v>
      </c>
      <c r="J1098" t="s">
        <v>17</v>
      </c>
    </row>
    <row r="1099" spans="1:10" x14ac:dyDescent="0.3">
      <c r="A1099" t="s">
        <v>1129</v>
      </c>
      <c r="B1099" s="1">
        <v>43295</v>
      </c>
      <c r="C1099" t="s">
        <v>11</v>
      </c>
      <c r="D1099" t="s">
        <v>27</v>
      </c>
      <c r="E1099">
        <v>7</v>
      </c>
      <c r="F1099">
        <v>80</v>
      </c>
      <c r="G1099">
        <v>560</v>
      </c>
      <c r="H1099">
        <v>0.02</v>
      </c>
      <c r="I1099">
        <v>11.2</v>
      </c>
      <c r="J1099" t="s">
        <v>20</v>
      </c>
    </row>
    <row r="1100" spans="1:10" x14ac:dyDescent="0.3">
      <c r="A1100" t="s">
        <v>1130</v>
      </c>
      <c r="B1100" s="1">
        <v>43296</v>
      </c>
      <c r="C1100" t="s">
        <v>30</v>
      </c>
      <c r="D1100" t="s">
        <v>31</v>
      </c>
      <c r="E1100">
        <v>22</v>
      </c>
      <c r="F1100">
        <v>16</v>
      </c>
      <c r="G1100">
        <v>352</v>
      </c>
      <c r="H1100">
        <v>0.12</v>
      </c>
      <c r="I1100">
        <v>42.24</v>
      </c>
      <c r="J1100" t="s">
        <v>22</v>
      </c>
    </row>
    <row r="1101" spans="1:10" x14ac:dyDescent="0.3">
      <c r="A1101" t="s">
        <v>1131</v>
      </c>
      <c r="B1101" s="1">
        <v>43296</v>
      </c>
      <c r="C1101" t="s">
        <v>15</v>
      </c>
      <c r="D1101" t="s">
        <v>16</v>
      </c>
      <c r="E1101">
        <v>21</v>
      </c>
      <c r="F1101">
        <v>40</v>
      </c>
      <c r="G1101">
        <v>840</v>
      </c>
      <c r="H1101">
        <v>0.03</v>
      </c>
      <c r="I1101">
        <v>25.2</v>
      </c>
      <c r="J1101" t="s">
        <v>25</v>
      </c>
    </row>
    <row r="1102" spans="1:10" x14ac:dyDescent="0.3">
      <c r="A1102" t="s">
        <v>1132</v>
      </c>
      <c r="B1102" s="1">
        <v>43296</v>
      </c>
      <c r="C1102" t="s">
        <v>11</v>
      </c>
      <c r="D1102" t="s">
        <v>12</v>
      </c>
      <c r="E1102">
        <v>6</v>
      </c>
      <c r="F1102">
        <v>80</v>
      </c>
      <c r="G1102">
        <v>480</v>
      </c>
      <c r="H1102">
        <v>0.01</v>
      </c>
      <c r="I1102">
        <v>4.8</v>
      </c>
      <c r="J1102" t="s">
        <v>28</v>
      </c>
    </row>
    <row r="1103" spans="1:10" x14ac:dyDescent="0.3">
      <c r="A1103" t="s">
        <v>1133</v>
      </c>
      <c r="B1103" s="1">
        <v>43296</v>
      </c>
      <c r="C1103" t="s">
        <v>11</v>
      </c>
      <c r="D1103" t="s">
        <v>31</v>
      </c>
      <c r="E1103">
        <v>13</v>
      </c>
      <c r="F1103">
        <v>80</v>
      </c>
      <c r="G1103">
        <v>1040</v>
      </c>
      <c r="H1103">
        <v>0.05</v>
      </c>
      <c r="I1103">
        <v>52</v>
      </c>
      <c r="J1103" t="s">
        <v>17</v>
      </c>
    </row>
    <row r="1104" spans="1:10" x14ac:dyDescent="0.3">
      <c r="A1104" t="s">
        <v>1134</v>
      </c>
      <c r="B1104" s="1">
        <v>43296</v>
      </c>
      <c r="C1104" t="s">
        <v>11</v>
      </c>
      <c r="D1104" t="s">
        <v>27</v>
      </c>
      <c r="E1104">
        <v>11</v>
      </c>
      <c r="F1104">
        <v>80</v>
      </c>
      <c r="G1104">
        <v>880</v>
      </c>
      <c r="H1104">
        <v>0.01</v>
      </c>
      <c r="I1104">
        <v>8.8000000000000007</v>
      </c>
      <c r="J1104" t="s">
        <v>20</v>
      </c>
    </row>
    <row r="1105" spans="1:10" x14ac:dyDescent="0.3">
      <c r="A1105" t="s">
        <v>1135</v>
      </c>
      <c r="B1105" s="1">
        <v>43296</v>
      </c>
      <c r="C1105" t="s">
        <v>15</v>
      </c>
      <c r="D1105" t="s">
        <v>12</v>
      </c>
      <c r="E1105">
        <v>18</v>
      </c>
      <c r="F1105">
        <v>40</v>
      </c>
      <c r="G1105">
        <v>720</v>
      </c>
      <c r="H1105">
        <v>0.06</v>
      </c>
      <c r="I1105">
        <v>43.2</v>
      </c>
      <c r="J1105" t="s">
        <v>22</v>
      </c>
    </row>
    <row r="1106" spans="1:10" x14ac:dyDescent="0.3">
      <c r="A1106" t="s">
        <v>1136</v>
      </c>
      <c r="B1106" s="1">
        <v>43296</v>
      </c>
      <c r="C1106" t="s">
        <v>34</v>
      </c>
      <c r="D1106" t="s">
        <v>27</v>
      </c>
      <c r="E1106">
        <v>7</v>
      </c>
      <c r="F1106">
        <v>150</v>
      </c>
      <c r="G1106">
        <v>1050</v>
      </c>
      <c r="H1106">
        <v>0.05</v>
      </c>
      <c r="I1106">
        <v>52.5</v>
      </c>
      <c r="J1106" t="s">
        <v>25</v>
      </c>
    </row>
    <row r="1107" spans="1:10" x14ac:dyDescent="0.3">
      <c r="A1107" t="s">
        <v>1137</v>
      </c>
      <c r="B1107" s="1">
        <v>43296</v>
      </c>
      <c r="C1107" t="s">
        <v>15</v>
      </c>
      <c r="D1107" t="s">
        <v>12</v>
      </c>
      <c r="E1107">
        <v>2</v>
      </c>
      <c r="F1107">
        <v>40</v>
      </c>
      <c r="G1107">
        <v>80</v>
      </c>
      <c r="H1107">
        <v>0.12</v>
      </c>
      <c r="I1107">
        <v>9.6</v>
      </c>
      <c r="J1107" t="s">
        <v>28</v>
      </c>
    </row>
    <row r="1108" spans="1:10" x14ac:dyDescent="0.3">
      <c r="A1108" t="s">
        <v>1138</v>
      </c>
      <c r="B1108" s="1">
        <v>43296</v>
      </c>
      <c r="C1108" t="s">
        <v>11</v>
      </c>
      <c r="D1108" t="s">
        <v>16</v>
      </c>
      <c r="E1108">
        <v>14</v>
      </c>
      <c r="F1108">
        <v>80</v>
      </c>
      <c r="G1108">
        <v>1120</v>
      </c>
      <c r="H1108">
        <v>0.06</v>
      </c>
      <c r="I1108">
        <v>67.2</v>
      </c>
      <c r="J1108" t="s">
        <v>32</v>
      </c>
    </row>
    <row r="1109" spans="1:10" x14ac:dyDescent="0.3">
      <c r="A1109" t="s">
        <v>1139</v>
      </c>
      <c r="B1109" s="1">
        <v>43296</v>
      </c>
      <c r="C1109" t="s">
        <v>34</v>
      </c>
      <c r="D1109" t="s">
        <v>31</v>
      </c>
      <c r="E1109">
        <v>7</v>
      </c>
      <c r="F1109">
        <v>150</v>
      </c>
      <c r="G1109">
        <v>1050</v>
      </c>
      <c r="H1109">
        <v>0.03</v>
      </c>
      <c r="I1109">
        <v>31.5</v>
      </c>
      <c r="J1109" t="s">
        <v>35</v>
      </c>
    </row>
    <row r="1110" spans="1:10" x14ac:dyDescent="0.3">
      <c r="A1110" t="s">
        <v>1140</v>
      </c>
      <c r="B1110" s="1">
        <v>43296</v>
      </c>
      <c r="C1110" t="s">
        <v>30</v>
      </c>
      <c r="D1110" t="s">
        <v>27</v>
      </c>
      <c r="E1110">
        <v>10</v>
      </c>
      <c r="F1110">
        <v>16</v>
      </c>
      <c r="G1110">
        <v>160</v>
      </c>
      <c r="H1110">
        <v>0.01</v>
      </c>
      <c r="I1110">
        <v>1.6</v>
      </c>
      <c r="J1110" t="s">
        <v>37</v>
      </c>
    </row>
    <row r="1111" spans="1:10" x14ac:dyDescent="0.3">
      <c r="A1111" t="s">
        <v>1141</v>
      </c>
      <c r="B1111" s="1">
        <v>43297</v>
      </c>
      <c r="C1111" t="s">
        <v>15</v>
      </c>
      <c r="D1111" t="s">
        <v>16</v>
      </c>
      <c r="E1111">
        <v>7</v>
      </c>
      <c r="F1111">
        <v>40</v>
      </c>
      <c r="G1111">
        <v>280</v>
      </c>
      <c r="H1111">
        <v>0.01</v>
      </c>
      <c r="I1111">
        <v>2.8</v>
      </c>
      <c r="J1111" t="s">
        <v>39</v>
      </c>
    </row>
    <row r="1112" spans="1:10" x14ac:dyDescent="0.3">
      <c r="A1112" t="s">
        <v>1142</v>
      </c>
      <c r="B1112" s="1">
        <v>43297</v>
      </c>
      <c r="C1112" t="s">
        <v>30</v>
      </c>
      <c r="D1112" t="s">
        <v>27</v>
      </c>
      <c r="E1112">
        <v>7</v>
      </c>
      <c r="F1112">
        <v>16</v>
      </c>
      <c r="G1112">
        <v>112</v>
      </c>
      <c r="H1112">
        <v>0.08</v>
      </c>
      <c r="I1112">
        <v>8.9600000000000009</v>
      </c>
      <c r="J1112" t="s">
        <v>41</v>
      </c>
    </row>
    <row r="1113" spans="1:10" x14ac:dyDescent="0.3">
      <c r="A1113" t="s">
        <v>1143</v>
      </c>
      <c r="B1113" s="1">
        <v>43297</v>
      </c>
      <c r="C1113" t="s">
        <v>34</v>
      </c>
      <c r="D1113" t="s">
        <v>24</v>
      </c>
      <c r="E1113">
        <v>15</v>
      </c>
      <c r="F1113">
        <v>150</v>
      </c>
      <c r="G1113">
        <v>2250</v>
      </c>
      <c r="H1113">
        <v>0.05</v>
      </c>
      <c r="I1113">
        <v>112.5</v>
      </c>
      <c r="J1113" t="s">
        <v>43</v>
      </c>
    </row>
    <row r="1114" spans="1:10" x14ac:dyDescent="0.3">
      <c r="A1114" t="s">
        <v>1144</v>
      </c>
      <c r="B1114" s="1">
        <v>43297</v>
      </c>
      <c r="C1114" t="s">
        <v>11</v>
      </c>
      <c r="D1114" t="s">
        <v>12</v>
      </c>
      <c r="E1114">
        <v>7</v>
      </c>
      <c r="F1114">
        <v>80</v>
      </c>
      <c r="G1114">
        <v>560</v>
      </c>
      <c r="H1114">
        <v>0.02</v>
      </c>
      <c r="I1114">
        <v>11.2</v>
      </c>
      <c r="J1114" t="s">
        <v>13</v>
      </c>
    </row>
    <row r="1115" spans="1:10" x14ac:dyDescent="0.3">
      <c r="A1115" t="s">
        <v>1145</v>
      </c>
      <c r="B1115" s="1">
        <v>43297</v>
      </c>
      <c r="C1115" t="s">
        <v>15</v>
      </c>
      <c r="D1115" t="s">
        <v>24</v>
      </c>
      <c r="E1115">
        <v>6</v>
      </c>
      <c r="F1115">
        <v>40</v>
      </c>
      <c r="G1115">
        <v>240</v>
      </c>
      <c r="H1115">
        <v>0.06</v>
      </c>
      <c r="I1115">
        <v>14.4</v>
      </c>
      <c r="J1115" t="s">
        <v>17</v>
      </c>
    </row>
    <row r="1116" spans="1:10" x14ac:dyDescent="0.3">
      <c r="A1116" t="s">
        <v>1146</v>
      </c>
      <c r="B1116" s="1">
        <v>43297</v>
      </c>
      <c r="C1116" t="s">
        <v>19</v>
      </c>
      <c r="D1116" t="s">
        <v>12</v>
      </c>
      <c r="E1116">
        <v>3</v>
      </c>
      <c r="F1116">
        <v>230</v>
      </c>
      <c r="G1116">
        <v>690</v>
      </c>
      <c r="H1116">
        <v>0.06</v>
      </c>
      <c r="I1116">
        <v>41.4</v>
      </c>
      <c r="J1116" t="s">
        <v>20</v>
      </c>
    </row>
    <row r="1117" spans="1:10" x14ac:dyDescent="0.3">
      <c r="A1117" t="s">
        <v>1147</v>
      </c>
      <c r="B1117" s="1">
        <v>43297</v>
      </c>
      <c r="C1117" t="s">
        <v>34</v>
      </c>
      <c r="D1117" t="s">
        <v>24</v>
      </c>
      <c r="E1117">
        <v>20</v>
      </c>
      <c r="F1117">
        <v>150</v>
      </c>
      <c r="G1117">
        <v>3000</v>
      </c>
      <c r="H1117">
        <v>0.04</v>
      </c>
      <c r="I1117">
        <v>120</v>
      </c>
      <c r="J1117" t="s">
        <v>22</v>
      </c>
    </row>
    <row r="1118" spans="1:10" x14ac:dyDescent="0.3">
      <c r="A1118" t="s">
        <v>1148</v>
      </c>
      <c r="B1118" s="1">
        <v>43297</v>
      </c>
      <c r="C1118" t="s">
        <v>19</v>
      </c>
      <c r="D1118" t="s">
        <v>24</v>
      </c>
      <c r="E1118">
        <v>20</v>
      </c>
      <c r="F1118">
        <v>230</v>
      </c>
      <c r="G1118">
        <v>4600</v>
      </c>
      <c r="H1118">
        <v>0.06</v>
      </c>
      <c r="I1118">
        <v>276</v>
      </c>
      <c r="J1118" t="s">
        <v>25</v>
      </c>
    </row>
    <row r="1119" spans="1:10" x14ac:dyDescent="0.3">
      <c r="A1119" t="s">
        <v>1149</v>
      </c>
      <c r="B1119" s="1">
        <v>43297</v>
      </c>
      <c r="C1119" t="s">
        <v>30</v>
      </c>
      <c r="D1119" t="s">
        <v>24</v>
      </c>
      <c r="E1119">
        <v>14</v>
      </c>
      <c r="F1119">
        <v>16</v>
      </c>
      <c r="G1119">
        <v>224</v>
      </c>
      <c r="H1119">
        <v>0.01</v>
      </c>
      <c r="I1119">
        <v>2.2400000000000002</v>
      </c>
      <c r="J1119" t="s">
        <v>28</v>
      </c>
    </row>
    <row r="1120" spans="1:10" x14ac:dyDescent="0.3">
      <c r="A1120" t="s">
        <v>1150</v>
      </c>
      <c r="B1120" s="1">
        <v>43297</v>
      </c>
      <c r="C1120" t="s">
        <v>34</v>
      </c>
      <c r="D1120" t="s">
        <v>24</v>
      </c>
      <c r="E1120">
        <v>20</v>
      </c>
      <c r="F1120">
        <v>150</v>
      </c>
      <c r="G1120">
        <v>3000</v>
      </c>
      <c r="H1120">
        <v>0.04</v>
      </c>
      <c r="I1120">
        <v>120</v>
      </c>
      <c r="J1120" t="s">
        <v>17</v>
      </c>
    </row>
    <row r="1121" spans="1:10" x14ac:dyDescent="0.3">
      <c r="A1121" t="s">
        <v>1151</v>
      </c>
      <c r="B1121" s="1">
        <v>43297</v>
      </c>
      <c r="C1121" t="s">
        <v>11</v>
      </c>
      <c r="D1121" t="s">
        <v>12</v>
      </c>
      <c r="E1121">
        <v>17</v>
      </c>
      <c r="F1121">
        <v>80</v>
      </c>
      <c r="G1121">
        <v>1360</v>
      </c>
      <c r="H1121">
        <v>0.09</v>
      </c>
      <c r="I1121">
        <v>122.4</v>
      </c>
      <c r="J1121" t="s">
        <v>20</v>
      </c>
    </row>
    <row r="1122" spans="1:10" x14ac:dyDescent="0.3">
      <c r="A1122" t="s">
        <v>1152</v>
      </c>
      <c r="B1122" s="1">
        <v>43298</v>
      </c>
      <c r="C1122" t="s">
        <v>34</v>
      </c>
      <c r="D1122" t="s">
        <v>24</v>
      </c>
      <c r="E1122">
        <v>20</v>
      </c>
      <c r="F1122">
        <v>150</v>
      </c>
      <c r="G1122">
        <v>3000</v>
      </c>
      <c r="H1122">
        <v>0.12</v>
      </c>
      <c r="I1122">
        <v>360</v>
      </c>
      <c r="J1122" t="s">
        <v>22</v>
      </c>
    </row>
    <row r="1123" spans="1:10" x14ac:dyDescent="0.3">
      <c r="A1123" t="s">
        <v>1153</v>
      </c>
      <c r="B1123" s="1">
        <v>43298</v>
      </c>
      <c r="C1123" t="s">
        <v>30</v>
      </c>
      <c r="D1123" t="s">
        <v>24</v>
      </c>
      <c r="E1123">
        <v>11</v>
      </c>
      <c r="F1123">
        <v>16</v>
      </c>
      <c r="G1123">
        <v>176</v>
      </c>
      <c r="H1123">
        <v>0.04</v>
      </c>
      <c r="I1123">
        <v>7.04</v>
      </c>
      <c r="J1123" t="s">
        <v>25</v>
      </c>
    </row>
    <row r="1124" spans="1:10" x14ac:dyDescent="0.3">
      <c r="A1124" t="s">
        <v>1154</v>
      </c>
      <c r="B1124" s="1">
        <v>43298</v>
      </c>
      <c r="C1124" t="s">
        <v>19</v>
      </c>
      <c r="D1124" t="s">
        <v>31</v>
      </c>
      <c r="E1124">
        <v>7</v>
      </c>
      <c r="F1124">
        <v>230</v>
      </c>
      <c r="G1124">
        <v>1610</v>
      </c>
      <c r="H1124">
        <v>0.05</v>
      </c>
      <c r="I1124">
        <v>80.5</v>
      </c>
      <c r="J1124" t="s">
        <v>28</v>
      </c>
    </row>
    <row r="1125" spans="1:10" x14ac:dyDescent="0.3">
      <c r="A1125" t="s">
        <v>1155</v>
      </c>
      <c r="B1125" s="1">
        <v>43298</v>
      </c>
      <c r="C1125" t="s">
        <v>15</v>
      </c>
      <c r="D1125" t="s">
        <v>16</v>
      </c>
      <c r="E1125">
        <v>14</v>
      </c>
      <c r="F1125">
        <v>40</v>
      </c>
      <c r="G1125">
        <v>560</v>
      </c>
      <c r="H1125">
        <v>0.06</v>
      </c>
      <c r="I1125">
        <v>33.6</v>
      </c>
      <c r="J1125" t="s">
        <v>32</v>
      </c>
    </row>
    <row r="1126" spans="1:10" x14ac:dyDescent="0.3">
      <c r="A1126" t="s">
        <v>1156</v>
      </c>
      <c r="B1126" s="1">
        <v>43298</v>
      </c>
      <c r="C1126" t="s">
        <v>11</v>
      </c>
      <c r="D1126" t="s">
        <v>16</v>
      </c>
      <c r="E1126">
        <v>13</v>
      </c>
      <c r="F1126">
        <v>80</v>
      </c>
      <c r="G1126">
        <v>1040</v>
      </c>
      <c r="H1126">
        <v>0.06</v>
      </c>
      <c r="I1126">
        <v>62.4</v>
      </c>
      <c r="J1126" t="s">
        <v>35</v>
      </c>
    </row>
    <row r="1127" spans="1:10" x14ac:dyDescent="0.3">
      <c r="A1127" t="s">
        <v>1157</v>
      </c>
      <c r="B1127" s="1">
        <v>43298</v>
      </c>
      <c r="C1127" t="s">
        <v>30</v>
      </c>
      <c r="D1127" t="s">
        <v>24</v>
      </c>
      <c r="E1127">
        <v>17</v>
      </c>
      <c r="F1127">
        <v>16</v>
      </c>
      <c r="G1127">
        <v>272</v>
      </c>
      <c r="H1127">
        <v>0.05</v>
      </c>
      <c r="I1127">
        <v>13.6</v>
      </c>
      <c r="J1127" t="s">
        <v>37</v>
      </c>
    </row>
    <row r="1128" spans="1:10" x14ac:dyDescent="0.3">
      <c r="A1128" t="s">
        <v>1158</v>
      </c>
      <c r="B1128" s="1">
        <v>43298</v>
      </c>
      <c r="C1128" t="s">
        <v>19</v>
      </c>
      <c r="D1128" t="s">
        <v>24</v>
      </c>
      <c r="E1128">
        <v>12</v>
      </c>
      <c r="F1128">
        <v>230</v>
      </c>
      <c r="G1128">
        <v>2760</v>
      </c>
      <c r="H1128">
        <v>0.03</v>
      </c>
      <c r="I1128">
        <v>82.8</v>
      </c>
      <c r="J1128" t="s">
        <v>39</v>
      </c>
    </row>
    <row r="1129" spans="1:10" x14ac:dyDescent="0.3">
      <c r="A1129" t="s">
        <v>1159</v>
      </c>
      <c r="B1129" s="1">
        <v>43298</v>
      </c>
      <c r="C1129" t="s">
        <v>15</v>
      </c>
      <c r="D1129" t="s">
        <v>16</v>
      </c>
      <c r="E1129">
        <v>4</v>
      </c>
      <c r="F1129">
        <v>40</v>
      </c>
      <c r="G1129">
        <v>160</v>
      </c>
      <c r="H1129">
        <v>0.12</v>
      </c>
      <c r="I1129">
        <v>19.2</v>
      </c>
      <c r="J1129" t="s">
        <v>41</v>
      </c>
    </row>
    <row r="1130" spans="1:10" x14ac:dyDescent="0.3">
      <c r="A1130" t="s">
        <v>1160</v>
      </c>
      <c r="B1130" s="1">
        <v>43298</v>
      </c>
      <c r="C1130" t="s">
        <v>30</v>
      </c>
      <c r="D1130" t="s">
        <v>12</v>
      </c>
      <c r="E1130">
        <v>20</v>
      </c>
      <c r="F1130">
        <v>16</v>
      </c>
      <c r="G1130">
        <v>320</v>
      </c>
      <c r="H1130">
        <v>0.01</v>
      </c>
      <c r="I1130">
        <v>3.2</v>
      </c>
      <c r="J1130" t="s">
        <v>43</v>
      </c>
    </row>
    <row r="1131" spans="1:10" x14ac:dyDescent="0.3">
      <c r="A1131" t="s">
        <v>1161</v>
      </c>
      <c r="B1131" s="1">
        <v>43298</v>
      </c>
      <c r="C1131" t="s">
        <v>11</v>
      </c>
      <c r="D1131" t="s">
        <v>27</v>
      </c>
      <c r="E1131">
        <v>8</v>
      </c>
      <c r="F1131">
        <v>80</v>
      </c>
      <c r="G1131">
        <v>640</v>
      </c>
      <c r="H1131">
        <v>0.06</v>
      </c>
      <c r="I1131">
        <v>38.4</v>
      </c>
      <c r="J1131" t="s">
        <v>13</v>
      </c>
    </row>
    <row r="1132" spans="1:10" x14ac:dyDescent="0.3">
      <c r="A1132" t="s">
        <v>1162</v>
      </c>
      <c r="B1132" s="1">
        <v>43298</v>
      </c>
      <c r="C1132" t="s">
        <v>11</v>
      </c>
      <c r="D1132" t="s">
        <v>12</v>
      </c>
      <c r="E1132">
        <v>18</v>
      </c>
      <c r="F1132">
        <v>80</v>
      </c>
      <c r="G1132">
        <v>1440</v>
      </c>
      <c r="H1132">
        <v>0.02</v>
      </c>
      <c r="I1132">
        <v>28.8</v>
      </c>
      <c r="J1132" t="s">
        <v>17</v>
      </c>
    </row>
    <row r="1133" spans="1:10" x14ac:dyDescent="0.3">
      <c r="A1133" t="s">
        <v>1163</v>
      </c>
      <c r="B1133" s="1">
        <v>43298</v>
      </c>
      <c r="C1133" t="s">
        <v>30</v>
      </c>
      <c r="D1133" t="s">
        <v>24</v>
      </c>
      <c r="E1133">
        <v>6</v>
      </c>
      <c r="F1133">
        <v>16</v>
      </c>
      <c r="G1133">
        <v>96</v>
      </c>
      <c r="H1133">
        <v>0.06</v>
      </c>
      <c r="I1133">
        <v>5.76</v>
      </c>
      <c r="J1133" t="s">
        <v>20</v>
      </c>
    </row>
    <row r="1134" spans="1:10" x14ac:dyDescent="0.3">
      <c r="A1134" t="s">
        <v>1164</v>
      </c>
      <c r="B1134" s="1">
        <v>43298</v>
      </c>
      <c r="C1134" t="s">
        <v>11</v>
      </c>
      <c r="D1134" t="s">
        <v>12</v>
      </c>
      <c r="E1134">
        <v>9</v>
      </c>
      <c r="F1134">
        <v>80</v>
      </c>
      <c r="G1134">
        <v>720</v>
      </c>
      <c r="H1134">
        <v>0.04</v>
      </c>
      <c r="I1134">
        <v>28.8</v>
      </c>
      <c r="J1134" t="s">
        <v>22</v>
      </c>
    </row>
    <row r="1135" spans="1:10" x14ac:dyDescent="0.3">
      <c r="A1135" t="s">
        <v>1165</v>
      </c>
      <c r="B1135" s="1">
        <v>43299</v>
      </c>
      <c r="C1135" t="s">
        <v>11</v>
      </c>
      <c r="D1135" t="s">
        <v>24</v>
      </c>
      <c r="E1135">
        <v>8</v>
      </c>
      <c r="F1135">
        <v>80</v>
      </c>
      <c r="G1135">
        <v>640</v>
      </c>
      <c r="H1135">
        <v>0.02</v>
      </c>
      <c r="I1135">
        <v>12.8</v>
      </c>
      <c r="J1135" t="s">
        <v>25</v>
      </c>
    </row>
    <row r="1136" spans="1:10" x14ac:dyDescent="0.3">
      <c r="A1136" t="s">
        <v>1166</v>
      </c>
      <c r="B1136" s="1">
        <v>43299</v>
      </c>
      <c r="C1136" t="s">
        <v>34</v>
      </c>
      <c r="D1136" t="s">
        <v>27</v>
      </c>
      <c r="E1136">
        <v>6</v>
      </c>
      <c r="F1136">
        <v>150</v>
      </c>
      <c r="G1136">
        <v>900</v>
      </c>
      <c r="H1136">
        <v>0.03</v>
      </c>
      <c r="I1136">
        <v>27</v>
      </c>
      <c r="J1136" t="s">
        <v>28</v>
      </c>
    </row>
    <row r="1137" spans="1:10" x14ac:dyDescent="0.3">
      <c r="A1137" t="s">
        <v>1167</v>
      </c>
      <c r="B1137" s="1">
        <v>43299</v>
      </c>
      <c r="C1137" t="s">
        <v>30</v>
      </c>
      <c r="D1137" t="s">
        <v>27</v>
      </c>
      <c r="E1137">
        <v>14</v>
      </c>
      <c r="F1137">
        <v>16</v>
      </c>
      <c r="G1137">
        <v>224</v>
      </c>
      <c r="H1137">
        <v>0.12</v>
      </c>
      <c r="I1137">
        <v>26.88</v>
      </c>
      <c r="J1137" t="s">
        <v>17</v>
      </c>
    </row>
    <row r="1138" spans="1:10" x14ac:dyDescent="0.3">
      <c r="A1138" t="s">
        <v>1168</v>
      </c>
      <c r="B1138" s="1">
        <v>43299</v>
      </c>
      <c r="C1138" t="s">
        <v>11</v>
      </c>
      <c r="D1138" t="s">
        <v>24</v>
      </c>
      <c r="E1138">
        <v>6</v>
      </c>
      <c r="F1138">
        <v>80</v>
      </c>
      <c r="G1138">
        <v>480</v>
      </c>
      <c r="H1138">
        <v>0.09</v>
      </c>
      <c r="I1138">
        <v>43.2</v>
      </c>
      <c r="J1138" t="s">
        <v>20</v>
      </c>
    </row>
    <row r="1139" spans="1:10" x14ac:dyDescent="0.3">
      <c r="A1139" t="s">
        <v>1169</v>
      </c>
      <c r="B1139" s="1">
        <v>43299</v>
      </c>
      <c r="C1139" t="s">
        <v>15</v>
      </c>
      <c r="D1139" t="s">
        <v>31</v>
      </c>
      <c r="E1139">
        <v>23</v>
      </c>
      <c r="F1139">
        <v>40</v>
      </c>
      <c r="G1139">
        <v>920</v>
      </c>
      <c r="H1139">
        <v>0.04</v>
      </c>
      <c r="I1139">
        <v>36.799999999999997</v>
      </c>
      <c r="J1139" t="s">
        <v>22</v>
      </c>
    </row>
    <row r="1140" spans="1:10" x14ac:dyDescent="0.3">
      <c r="A1140" t="s">
        <v>1170</v>
      </c>
      <c r="B1140" s="1">
        <v>43299</v>
      </c>
      <c r="C1140" t="s">
        <v>15</v>
      </c>
      <c r="D1140" t="s">
        <v>24</v>
      </c>
      <c r="E1140">
        <v>12</v>
      </c>
      <c r="F1140">
        <v>40</v>
      </c>
      <c r="G1140">
        <v>480</v>
      </c>
      <c r="H1140">
        <v>0.02</v>
      </c>
      <c r="I1140">
        <v>9.6</v>
      </c>
      <c r="J1140" t="s">
        <v>25</v>
      </c>
    </row>
    <row r="1141" spans="1:10" x14ac:dyDescent="0.3">
      <c r="A1141" t="s">
        <v>1171</v>
      </c>
      <c r="B1141" s="1">
        <v>43299</v>
      </c>
      <c r="C1141" t="s">
        <v>15</v>
      </c>
      <c r="D1141" t="s">
        <v>27</v>
      </c>
      <c r="E1141">
        <v>22</v>
      </c>
      <c r="F1141">
        <v>40</v>
      </c>
      <c r="G1141">
        <v>880</v>
      </c>
      <c r="H1141">
        <v>0.01</v>
      </c>
      <c r="I1141">
        <v>8.8000000000000007</v>
      </c>
      <c r="J1141" t="s">
        <v>28</v>
      </c>
    </row>
    <row r="1142" spans="1:10" x14ac:dyDescent="0.3">
      <c r="A1142" t="s">
        <v>1172</v>
      </c>
      <c r="B1142" s="1">
        <v>43299</v>
      </c>
      <c r="C1142" t="s">
        <v>34</v>
      </c>
      <c r="D1142" t="s">
        <v>27</v>
      </c>
      <c r="E1142">
        <v>6</v>
      </c>
      <c r="F1142">
        <v>150</v>
      </c>
      <c r="G1142">
        <v>900</v>
      </c>
      <c r="H1142">
        <v>0.03</v>
      </c>
      <c r="I1142">
        <v>27</v>
      </c>
      <c r="J1142" t="s">
        <v>32</v>
      </c>
    </row>
    <row r="1143" spans="1:10" x14ac:dyDescent="0.3">
      <c r="A1143" t="s">
        <v>1173</v>
      </c>
      <c r="B1143" s="1">
        <v>43299</v>
      </c>
      <c r="C1143" t="s">
        <v>30</v>
      </c>
      <c r="D1143" t="s">
        <v>31</v>
      </c>
      <c r="E1143">
        <v>19</v>
      </c>
      <c r="F1143">
        <v>16</v>
      </c>
      <c r="G1143">
        <v>304</v>
      </c>
      <c r="H1143">
        <v>0.02</v>
      </c>
      <c r="I1143">
        <v>6.08</v>
      </c>
      <c r="J1143" t="s">
        <v>35</v>
      </c>
    </row>
    <row r="1144" spans="1:10" x14ac:dyDescent="0.3">
      <c r="A1144" t="s">
        <v>1174</v>
      </c>
      <c r="B1144" s="1">
        <v>43299</v>
      </c>
      <c r="C1144" t="s">
        <v>15</v>
      </c>
      <c r="D1144" t="s">
        <v>24</v>
      </c>
      <c r="E1144">
        <v>2</v>
      </c>
      <c r="F1144">
        <v>40</v>
      </c>
      <c r="G1144">
        <v>80</v>
      </c>
      <c r="H1144">
        <v>0.02</v>
      </c>
      <c r="I1144">
        <v>1.6</v>
      </c>
      <c r="J1144" t="s">
        <v>37</v>
      </c>
    </row>
    <row r="1145" spans="1:10" x14ac:dyDescent="0.3">
      <c r="A1145" t="s">
        <v>1175</v>
      </c>
      <c r="B1145" s="1">
        <v>43300</v>
      </c>
      <c r="C1145" t="s">
        <v>15</v>
      </c>
      <c r="D1145" t="s">
        <v>27</v>
      </c>
      <c r="E1145">
        <v>22</v>
      </c>
      <c r="F1145">
        <v>40</v>
      </c>
      <c r="G1145">
        <v>880</v>
      </c>
      <c r="H1145">
        <v>0.01</v>
      </c>
      <c r="I1145">
        <v>8.8000000000000007</v>
      </c>
      <c r="J1145" t="s">
        <v>39</v>
      </c>
    </row>
    <row r="1146" spans="1:10" x14ac:dyDescent="0.3">
      <c r="A1146" t="s">
        <v>1176</v>
      </c>
      <c r="B1146" s="1">
        <v>43300</v>
      </c>
      <c r="C1146" t="s">
        <v>19</v>
      </c>
      <c r="D1146" t="s">
        <v>27</v>
      </c>
      <c r="E1146">
        <v>3</v>
      </c>
      <c r="F1146">
        <v>230</v>
      </c>
      <c r="G1146">
        <v>690</v>
      </c>
      <c r="H1146">
        <v>0.01</v>
      </c>
      <c r="I1146">
        <v>6.9</v>
      </c>
      <c r="J1146" t="s">
        <v>41</v>
      </c>
    </row>
    <row r="1147" spans="1:10" x14ac:dyDescent="0.3">
      <c r="A1147" t="s">
        <v>1177</v>
      </c>
      <c r="B1147" s="1">
        <v>43300</v>
      </c>
      <c r="C1147" t="s">
        <v>15</v>
      </c>
      <c r="D1147" t="s">
        <v>27</v>
      </c>
      <c r="E1147">
        <v>23</v>
      </c>
      <c r="F1147">
        <v>40</v>
      </c>
      <c r="G1147">
        <v>920</v>
      </c>
      <c r="H1147">
        <v>0.06</v>
      </c>
      <c r="I1147">
        <v>55.2</v>
      </c>
      <c r="J1147" t="s">
        <v>43</v>
      </c>
    </row>
    <row r="1148" spans="1:10" x14ac:dyDescent="0.3">
      <c r="A1148" t="s">
        <v>1178</v>
      </c>
      <c r="B1148" s="1">
        <v>43300</v>
      </c>
      <c r="C1148" t="s">
        <v>15</v>
      </c>
      <c r="D1148" t="s">
        <v>31</v>
      </c>
      <c r="E1148">
        <v>5</v>
      </c>
      <c r="F1148">
        <v>40</v>
      </c>
      <c r="G1148">
        <v>200</v>
      </c>
      <c r="H1148">
        <v>0.03</v>
      </c>
      <c r="I1148">
        <v>6</v>
      </c>
      <c r="J1148" t="s">
        <v>13</v>
      </c>
    </row>
    <row r="1149" spans="1:10" x14ac:dyDescent="0.3">
      <c r="A1149" t="s">
        <v>1179</v>
      </c>
      <c r="B1149" s="1">
        <v>43300</v>
      </c>
      <c r="C1149" t="s">
        <v>11</v>
      </c>
      <c r="D1149" t="s">
        <v>12</v>
      </c>
      <c r="E1149">
        <v>8</v>
      </c>
      <c r="F1149">
        <v>80</v>
      </c>
      <c r="G1149">
        <v>640</v>
      </c>
      <c r="H1149">
        <v>0.08</v>
      </c>
      <c r="I1149">
        <v>51.2</v>
      </c>
      <c r="J1149" t="s">
        <v>17</v>
      </c>
    </row>
    <row r="1150" spans="1:10" x14ac:dyDescent="0.3">
      <c r="A1150" t="s">
        <v>1180</v>
      </c>
      <c r="B1150" s="1">
        <v>43300</v>
      </c>
      <c r="C1150" t="s">
        <v>15</v>
      </c>
      <c r="D1150" t="s">
        <v>24</v>
      </c>
      <c r="E1150">
        <v>18</v>
      </c>
      <c r="F1150">
        <v>40</v>
      </c>
      <c r="G1150">
        <v>720</v>
      </c>
      <c r="H1150">
        <v>0.03</v>
      </c>
      <c r="I1150">
        <v>21.6</v>
      </c>
      <c r="J1150" t="s">
        <v>20</v>
      </c>
    </row>
    <row r="1151" spans="1:10" x14ac:dyDescent="0.3">
      <c r="A1151" t="s">
        <v>1181</v>
      </c>
      <c r="B1151" s="1">
        <v>43300</v>
      </c>
      <c r="C1151" t="s">
        <v>15</v>
      </c>
      <c r="D1151" t="s">
        <v>31</v>
      </c>
      <c r="E1151">
        <v>20</v>
      </c>
      <c r="F1151">
        <v>40</v>
      </c>
      <c r="G1151">
        <v>800</v>
      </c>
      <c r="H1151">
        <v>0.1</v>
      </c>
      <c r="I1151">
        <v>80</v>
      </c>
      <c r="J1151" t="s">
        <v>22</v>
      </c>
    </row>
    <row r="1152" spans="1:10" x14ac:dyDescent="0.3">
      <c r="A1152" t="s">
        <v>1182</v>
      </c>
      <c r="B1152" s="1">
        <v>43300</v>
      </c>
      <c r="C1152" t="s">
        <v>15</v>
      </c>
      <c r="D1152" t="s">
        <v>24</v>
      </c>
      <c r="E1152">
        <v>2</v>
      </c>
      <c r="F1152">
        <v>40</v>
      </c>
      <c r="G1152">
        <v>80</v>
      </c>
      <c r="H1152">
        <v>0.03</v>
      </c>
      <c r="I1152">
        <v>2.4</v>
      </c>
      <c r="J1152" t="s">
        <v>25</v>
      </c>
    </row>
    <row r="1153" spans="1:10" x14ac:dyDescent="0.3">
      <c r="A1153" t="s">
        <v>1183</v>
      </c>
      <c r="B1153" s="1">
        <v>43300</v>
      </c>
      <c r="C1153" t="s">
        <v>19</v>
      </c>
      <c r="D1153" t="s">
        <v>12</v>
      </c>
      <c r="E1153">
        <v>15</v>
      </c>
      <c r="F1153">
        <v>230</v>
      </c>
      <c r="G1153">
        <v>3450</v>
      </c>
      <c r="H1153">
        <v>0.05</v>
      </c>
      <c r="I1153">
        <v>172.5</v>
      </c>
      <c r="J1153" t="s">
        <v>28</v>
      </c>
    </row>
    <row r="1154" spans="1:10" x14ac:dyDescent="0.3">
      <c r="A1154" t="s">
        <v>1184</v>
      </c>
      <c r="B1154" s="1">
        <v>43300</v>
      </c>
      <c r="C1154" t="s">
        <v>34</v>
      </c>
      <c r="D1154" t="s">
        <v>27</v>
      </c>
      <c r="E1154">
        <v>15</v>
      </c>
      <c r="F1154">
        <v>150</v>
      </c>
      <c r="G1154">
        <v>2250</v>
      </c>
      <c r="H1154">
        <v>0.08</v>
      </c>
      <c r="I1154">
        <v>180</v>
      </c>
      <c r="J1154" t="s">
        <v>17</v>
      </c>
    </row>
    <row r="1155" spans="1:10" x14ac:dyDescent="0.3">
      <c r="A1155" t="s">
        <v>1185</v>
      </c>
      <c r="B1155" s="1">
        <v>43300</v>
      </c>
      <c r="C1155" t="s">
        <v>34</v>
      </c>
      <c r="D1155" t="s">
        <v>27</v>
      </c>
      <c r="E1155">
        <v>22</v>
      </c>
      <c r="F1155">
        <v>150</v>
      </c>
      <c r="G1155">
        <v>3300</v>
      </c>
      <c r="H1155">
        <v>0.05</v>
      </c>
      <c r="I1155">
        <v>165</v>
      </c>
      <c r="J1155" t="s">
        <v>20</v>
      </c>
    </row>
    <row r="1156" spans="1:10" x14ac:dyDescent="0.3">
      <c r="A1156" t="s">
        <v>1186</v>
      </c>
      <c r="B1156" s="1">
        <v>43300</v>
      </c>
      <c r="C1156" t="s">
        <v>19</v>
      </c>
      <c r="D1156" t="s">
        <v>16</v>
      </c>
      <c r="E1156">
        <v>19</v>
      </c>
      <c r="F1156">
        <v>230</v>
      </c>
      <c r="G1156">
        <v>4370</v>
      </c>
      <c r="H1156">
        <v>0.11</v>
      </c>
      <c r="I1156">
        <v>480.7</v>
      </c>
      <c r="J1156" t="s">
        <v>22</v>
      </c>
    </row>
    <row r="1157" spans="1:10" x14ac:dyDescent="0.3">
      <c r="A1157" t="s">
        <v>1187</v>
      </c>
      <c r="B1157" s="1">
        <v>43300</v>
      </c>
      <c r="C1157" t="s">
        <v>11</v>
      </c>
      <c r="D1157" t="s">
        <v>16</v>
      </c>
      <c r="E1157">
        <v>10</v>
      </c>
      <c r="F1157">
        <v>80</v>
      </c>
      <c r="G1157">
        <v>800</v>
      </c>
      <c r="H1157">
        <v>0.11</v>
      </c>
      <c r="I1157">
        <v>88</v>
      </c>
      <c r="J1157" t="s">
        <v>25</v>
      </c>
    </row>
    <row r="1158" spans="1:10" x14ac:dyDescent="0.3">
      <c r="A1158" t="s">
        <v>1188</v>
      </c>
      <c r="B1158" s="1">
        <v>43300</v>
      </c>
      <c r="C1158" t="s">
        <v>15</v>
      </c>
      <c r="D1158" t="s">
        <v>27</v>
      </c>
      <c r="E1158">
        <v>18</v>
      </c>
      <c r="F1158">
        <v>40</v>
      </c>
      <c r="G1158">
        <v>720</v>
      </c>
      <c r="H1158">
        <v>0.06</v>
      </c>
      <c r="I1158">
        <v>43.2</v>
      </c>
      <c r="J1158" t="s">
        <v>28</v>
      </c>
    </row>
    <row r="1159" spans="1:10" x14ac:dyDescent="0.3">
      <c r="A1159" t="s">
        <v>1189</v>
      </c>
      <c r="B1159" s="1">
        <v>43300</v>
      </c>
      <c r="C1159" t="s">
        <v>11</v>
      </c>
      <c r="D1159" t="s">
        <v>27</v>
      </c>
      <c r="E1159">
        <v>16</v>
      </c>
      <c r="F1159">
        <v>80</v>
      </c>
      <c r="G1159">
        <v>1280</v>
      </c>
      <c r="H1159">
        <v>0.05</v>
      </c>
      <c r="I1159">
        <v>64</v>
      </c>
      <c r="J1159" t="s">
        <v>32</v>
      </c>
    </row>
    <row r="1160" spans="1:10" x14ac:dyDescent="0.3">
      <c r="A1160" t="s">
        <v>1190</v>
      </c>
      <c r="B1160" s="1">
        <v>43300</v>
      </c>
      <c r="C1160" t="s">
        <v>34</v>
      </c>
      <c r="D1160" t="s">
        <v>31</v>
      </c>
      <c r="E1160">
        <v>17</v>
      </c>
      <c r="F1160">
        <v>150</v>
      </c>
      <c r="G1160">
        <v>2550</v>
      </c>
      <c r="H1160">
        <v>0.02</v>
      </c>
      <c r="I1160">
        <v>51</v>
      </c>
      <c r="J1160" t="s">
        <v>35</v>
      </c>
    </row>
    <row r="1161" spans="1:10" x14ac:dyDescent="0.3">
      <c r="A1161" t="s">
        <v>1191</v>
      </c>
      <c r="B1161" s="1">
        <v>43301</v>
      </c>
      <c r="C1161" t="s">
        <v>19</v>
      </c>
      <c r="D1161" t="s">
        <v>12</v>
      </c>
      <c r="E1161">
        <v>8</v>
      </c>
      <c r="F1161">
        <v>230</v>
      </c>
      <c r="G1161">
        <v>1840</v>
      </c>
      <c r="H1161">
        <v>0.03</v>
      </c>
      <c r="I1161">
        <v>55.2</v>
      </c>
      <c r="J1161" t="s">
        <v>37</v>
      </c>
    </row>
    <row r="1162" spans="1:10" x14ac:dyDescent="0.3">
      <c r="A1162" t="s">
        <v>1192</v>
      </c>
      <c r="B1162" s="1">
        <v>43301</v>
      </c>
      <c r="C1162" t="s">
        <v>11</v>
      </c>
      <c r="D1162" t="s">
        <v>27</v>
      </c>
      <c r="E1162">
        <v>11</v>
      </c>
      <c r="F1162">
        <v>80</v>
      </c>
      <c r="G1162">
        <v>880</v>
      </c>
      <c r="H1162">
        <v>0.01</v>
      </c>
      <c r="I1162">
        <v>8.8000000000000007</v>
      </c>
      <c r="J1162" t="s">
        <v>39</v>
      </c>
    </row>
    <row r="1163" spans="1:10" x14ac:dyDescent="0.3">
      <c r="A1163" t="s">
        <v>1193</v>
      </c>
      <c r="B1163" s="1">
        <v>43301</v>
      </c>
      <c r="C1163" t="s">
        <v>15</v>
      </c>
      <c r="D1163" t="s">
        <v>12</v>
      </c>
      <c r="E1163">
        <v>5</v>
      </c>
      <c r="F1163">
        <v>40</v>
      </c>
      <c r="G1163">
        <v>200</v>
      </c>
      <c r="H1163">
        <v>0.06</v>
      </c>
      <c r="I1163">
        <v>12</v>
      </c>
      <c r="J1163" t="s">
        <v>41</v>
      </c>
    </row>
    <row r="1164" spans="1:10" x14ac:dyDescent="0.3">
      <c r="A1164" t="s">
        <v>1194</v>
      </c>
      <c r="B1164" s="1">
        <v>43301</v>
      </c>
      <c r="C1164" t="s">
        <v>15</v>
      </c>
      <c r="D1164" t="s">
        <v>31</v>
      </c>
      <c r="E1164">
        <v>11</v>
      </c>
      <c r="F1164">
        <v>40</v>
      </c>
      <c r="G1164">
        <v>440</v>
      </c>
      <c r="H1164">
        <v>0.05</v>
      </c>
      <c r="I1164">
        <v>22</v>
      </c>
      <c r="J1164" t="s">
        <v>43</v>
      </c>
    </row>
    <row r="1165" spans="1:10" x14ac:dyDescent="0.3">
      <c r="A1165" t="s">
        <v>1195</v>
      </c>
      <c r="B1165" s="1">
        <v>43301</v>
      </c>
      <c r="C1165" t="s">
        <v>34</v>
      </c>
      <c r="D1165" t="s">
        <v>27</v>
      </c>
      <c r="E1165">
        <v>20</v>
      </c>
      <c r="F1165">
        <v>150</v>
      </c>
      <c r="G1165">
        <v>3000</v>
      </c>
      <c r="H1165">
        <v>0.1</v>
      </c>
      <c r="I1165">
        <v>300</v>
      </c>
      <c r="J1165" t="s">
        <v>13</v>
      </c>
    </row>
    <row r="1166" spans="1:10" x14ac:dyDescent="0.3">
      <c r="A1166" t="s">
        <v>1196</v>
      </c>
      <c r="B1166" s="1">
        <v>43301</v>
      </c>
      <c r="C1166" t="s">
        <v>34</v>
      </c>
      <c r="D1166" t="s">
        <v>24</v>
      </c>
      <c r="E1166">
        <v>11</v>
      </c>
      <c r="F1166">
        <v>150</v>
      </c>
      <c r="G1166">
        <v>1650</v>
      </c>
      <c r="H1166">
        <v>0.11</v>
      </c>
      <c r="I1166">
        <v>181.5</v>
      </c>
      <c r="J1166" t="s">
        <v>17</v>
      </c>
    </row>
    <row r="1167" spans="1:10" x14ac:dyDescent="0.3">
      <c r="A1167" t="s">
        <v>1197</v>
      </c>
      <c r="B1167" s="1">
        <v>43301</v>
      </c>
      <c r="C1167" t="s">
        <v>11</v>
      </c>
      <c r="D1167" t="s">
        <v>27</v>
      </c>
      <c r="E1167">
        <v>2</v>
      </c>
      <c r="F1167">
        <v>80</v>
      </c>
      <c r="G1167">
        <v>160</v>
      </c>
      <c r="H1167">
        <v>0.08</v>
      </c>
      <c r="I1167">
        <v>12.8</v>
      </c>
      <c r="J1167" t="s">
        <v>20</v>
      </c>
    </row>
    <row r="1168" spans="1:10" x14ac:dyDescent="0.3">
      <c r="A1168" t="s">
        <v>1198</v>
      </c>
      <c r="B1168" s="1">
        <v>43301</v>
      </c>
      <c r="C1168" t="s">
        <v>34</v>
      </c>
      <c r="D1168" t="s">
        <v>16</v>
      </c>
      <c r="E1168">
        <v>16</v>
      </c>
      <c r="F1168">
        <v>150</v>
      </c>
      <c r="G1168">
        <v>2400</v>
      </c>
      <c r="H1168">
        <v>0.08</v>
      </c>
      <c r="I1168">
        <v>192</v>
      </c>
      <c r="J1168" t="s">
        <v>22</v>
      </c>
    </row>
    <row r="1169" spans="1:10" x14ac:dyDescent="0.3">
      <c r="A1169" t="s">
        <v>1199</v>
      </c>
      <c r="B1169" s="1">
        <v>43301</v>
      </c>
      <c r="C1169" t="s">
        <v>30</v>
      </c>
      <c r="D1169" t="s">
        <v>12</v>
      </c>
      <c r="E1169">
        <v>20</v>
      </c>
      <c r="F1169">
        <v>16</v>
      </c>
      <c r="G1169">
        <v>320</v>
      </c>
      <c r="H1169">
        <v>0.11</v>
      </c>
      <c r="I1169">
        <v>35.200000000000003</v>
      </c>
      <c r="J1169" t="s">
        <v>25</v>
      </c>
    </row>
    <row r="1170" spans="1:10" x14ac:dyDescent="0.3">
      <c r="A1170" t="s">
        <v>1200</v>
      </c>
      <c r="B1170" s="1">
        <v>43301</v>
      </c>
      <c r="C1170" t="s">
        <v>19</v>
      </c>
      <c r="D1170" t="s">
        <v>24</v>
      </c>
      <c r="E1170">
        <v>2</v>
      </c>
      <c r="F1170">
        <v>230</v>
      </c>
      <c r="G1170">
        <v>460</v>
      </c>
      <c r="H1170">
        <v>0.09</v>
      </c>
      <c r="I1170">
        <v>41.4</v>
      </c>
      <c r="J1170" t="s">
        <v>28</v>
      </c>
    </row>
    <row r="1171" spans="1:10" x14ac:dyDescent="0.3">
      <c r="A1171" t="s">
        <v>1201</v>
      </c>
      <c r="B1171" s="1">
        <v>43301</v>
      </c>
      <c r="C1171" t="s">
        <v>34</v>
      </c>
      <c r="D1171" t="s">
        <v>12</v>
      </c>
      <c r="E1171">
        <v>20</v>
      </c>
      <c r="F1171">
        <v>150</v>
      </c>
      <c r="G1171">
        <v>3000</v>
      </c>
      <c r="H1171">
        <v>0.04</v>
      </c>
      <c r="I1171">
        <v>120</v>
      </c>
      <c r="J1171" t="s">
        <v>17</v>
      </c>
    </row>
    <row r="1172" spans="1:10" x14ac:dyDescent="0.3">
      <c r="A1172" t="s">
        <v>1202</v>
      </c>
      <c r="B1172" s="1">
        <v>43301</v>
      </c>
      <c r="C1172" t="s">
        <v>34</v>
      </c>
      <c r="D1172" t="s">
        <v>12</v>
      </c>
      <c r="E1172">
        <v>22</v>
      </c>
      <c r="F1172">
        <v>150</v>
      </c>
      <c r="G1172">
        <v>3300</v>
      </c>
      <c r="H1172">
        <v>7.0000000000000007E-2</v>
      </c>
      <c r="I1172">
        <v>231</v>
      </c>
      <c r="J1172" t="s">
        <v>20</v>
      </c>
    </row>
    <row r="1173" spans="1:10" x14ac:dyDescent="0.3">
      <c r="A1173" t="s">
        <v>1203</v>
      </c>
      <c r="B1173" s="1">
        <v>43301</v>
      </c>
      <c r="C1173" t="s">
        <v>34</v>
      </c>
      <c r="D1173" t="s">
        <v>24</v>
      </c>
      <c r="E1173">
        <v>22</v>
      </c>
      <c r="F1173">
        <v>150</v>
      </c>
      <c r="G1173">
        <v>3300</v>
      </c>
      <c r="H1173">
        <v>0.04</v>
      </c>
      <c r="I1173">
        <v>132</v>
      </c>
      <c r="J1173" t="s">
        <v>22</v>
      </c>
    </row>
    <row r="1174" spans="1:10" x14ac:dyDescent="0.3">
      <c r="A1174" t="s">
        <v>1204</v>
      </c>
      <c r="B1174" s="1">
        <v>43301</v>
      </c>
      <c r="C1174" t="s">
        <v>15</v>
      </c>
      <c r="D1174" t="s">
        <v>12</v>
      </c>
      <c r="E1174">
        <v>23</v>
      </c>
      <c r="F1174">
        <v>40</v>
      </c>
      <c r="G1174">
        <v>920</v>
      </c>
      <c r="H1174">
        <v>7.0000000000000007E-2</v>
      </c>
      <c r="I1174">
        <v>64.400000000000006</v>
      </c>
      <c r="J1174" t="s">
        <v>25</v>
      </c>
    </row>
    <row r="1175" spans="1:10" x14ac:dyDescent="0.3">
      <c r="A1175" t="s">
        <v>1205</v>
      </c>
      <c r="B1175" s="1">
        <v>43302</v>
      </c>
      <c r="C1175" t="s">
        <v>30</v>
      </c>
      <c r="D1175" t="s">
        <v>24</v>
      </c>
      <c r="E1175">
        <v>11</v>
      </c>
      <c r="F1175">
        <v>16</v>
      </c>
      <c r="G1175">
        <v>176</v>
      </c>
      <c r="H1175">
        <v>0.04</v>
      </c>
      <c r="I1175">
        <v>7.04</v>
      </c>
      <c r="J1175" t="s">
        <v>28</v>
      </c>
    </row>
    <row r="1176" spans="1:10" x14ac:dyDescent="0.3">
      <c r="A1176" t="s">
        <v>1206</v>
      </c>
      <c r="B1176" s="1">
        <v>43302</v>
      </c>
      <c r="C1176" t="s">
        <v>19</v>
      </c>
      <c r="D1176" t="s">
        <v>16</v>
      </c>
      <c r="E1176">
        <v>11</v>
      </c>
      <c r="F1176">
        <v>230</v>
      </c>
      <c r="G1176">
        <v>2530</v>
      </c>
      <c r="H1176">
        <v>0.1</v>
      </c>
      <c r="I1176">
        <v>253</v>
      </c>
      <c r="J1176" t="s">
        <v>32</v>
      </c>
    </row>
    <row r="1177" spans="1:10" x14ac:dyDescent="0.3">
      <c r="A1177" t="s">
        <v>1207</v>
      </c>
      <c r="B1177" s="1">
        <v>43302</v>
      </c>
      <c r="C1177" t="s">
        <v>19</v>
      </c>
      <c r="D1177" t="s">
        <v>12</v>
      </c>
      <c r="E1177">
        <v>7</v>
      </c>
      <c r="F1177">
        <v>230</v>
      </c>
      <c r="G1177">
        <v>1610</v>
      </c>
      <c r="H1177">
        <v>0.08</v>
      </c>
      <c r="I1177">
        <v>128.80000000000001</v>
      </c>
      <c r="J1177" t="s">
        <v>35</v>
      </c>
    </row>
    <row r="1178" spans="1:10" x14ac:dyDescent="0.3">
      <c r="A1178" t="s">
        <v>1208</v>
      </c>
      <c r="B1178" s="1">
        <v>43302</v>
      </c>
      <c r="C1178" t="s">
        <v>34</v>
      </c>
      <c r="D1178" t="s">
        <v>16</v>
      </c>
      <c r="E1178">
        <v>13</v>
      </c>
      <c r="F1178">
        <v>150</v>
      </c>
      <c r="G1178">
        <v>1950</v>
      </c>
      <c r="H1178">
        <v>0.08</v>
      </c>
      <c r="I1178">
        <v>156</v>
      </c>
      <c r="J1178" t="s">
        <v>37</v>
      </c>
    </row>
    <row r="1179" spans="1:10" x14ac:dyDescent="0.3">
      <c r="A1179" t="s">
        <v>1209</v>
      </c>
      <c r="B1179" s="1">
        <v>43302</v>
      </c>
      <c r="C1179" t="s">
        <v>19</v>
      </c>
      <c r="D1179" t="s">
        <v>27</v>
      </c>
      <c r="E1179">
        <v>16</v>
      </c>
      <c r="F1179">
        <v>230</v>
      </c>
      <c r="G1179">
        <v>3680</v>
      </c>
      <c r="H1179">
        <v>0.11</v>
      </c>
      <c r="I1179">
        <v>404.8</v>
      </c>
      <c r="J1179" t="s">
        <v>39</v>
      </c>
    </row>
    <row r="1180" spans="1:10" x14ac:dyDescent="0.3">
      <c r="A1180" t="s">
        <v>1210</v>
      </c>
      <c r="B1180" s="1">
        <v>43302</v>
      </c>
      <c r="C1180" t="s">
        <v>19</v>
      </c>
      <c r="D1180" t="s">
        <v>31</v>
      </c>
      <c r="E1180">
        <v>20</v>
      </c>
      <c r="F1180">
        <v>230</v>
      </c>
      <c r="G1180">
        <v>4600</v>
      </c>
      <c r="H1180">
        <v>0.09</v>
      </c>
      <c r="I1180">
        <v>414</v>
      </c>
      <c r="J1180" t="s">
        <v>41</v>
      </c>
    </row>
    <row r="1181" spans="1:10" x14ac:dyDescent="0.3">
      <c r="A1181" t="s">
        <v>1211</v>
      </c>
      <c r="B1181" s="1">
        <v>43302</v>
      </c>
      <c r="C1181" t="s">
        <v>15</v>
      </c>
      <c r="D1181" t="s">
        <v>24</v>
      </c>
      <c r="E1181">
        <v>20</v>
      </c>
      <c r="F1181">
        <v>40</v>
      </c>
      <c r="G1181">
        <v>800</v>
      </c>
      <c r="H1181">
        <v>0.01</v>
      </c>
      <c r="I1181">
        <v>8</v>
      </c>
      <c r="J1181" t="s">
        <v>43</v>
      </c>
    </row>
    <row r="1182" spans="1:10" x14ac:dyDescent="0.3">
      <c r="A1182" t="s">
        <v>1212</v>
      </c>
      <c r="B1182" s="1">
        <v>43302</v>
      </c>
      <c r="C1182" t="s">
        <v>11</v>
      </c>
      <c r="D1182" t="s">
        <v>12</v>
      </c>
      <c r="E1182">
        <v>20</v>
      </c>
      <c r="F1182">
        <v>80</v>
      </c>
      <c r="G1182">
        <v>1600</v>
      </c>
      <c r="H1182">
        <v>0.01</v>
      </c>
      <c r="I1182">
        <v>16</v>
      </c>
      <c r="J1182" t="s">
        <v>13</v>
      </c>
    </row>
    <row r="1183" spans="1:10" x14ac:dyDescent="0.3">
      <c r="A1183" t="s">
        <v>1213</v>
      </c>
      <c r="B1183" s="1">
        <v>43302</v>
      </c>
      <c r="C1183" t="s">
        <v>34</v>
      </c>
      <c r="D1183" t="s">
        <v>12</v>
      </c>
      <c r="E1183">
        <v>5</v>
      </c>
      <c r="F1183">
        <v>150</v>
      </c>
      <c r="G1183">
        <v>750</v>
      </c>
      <c r="H1183">
        <v>0.11</v>
      </c>
      <c r="I1183">
        <v>82.5</v>
      </c>
      <c r="J1183" t="s">
        <v>17</v>
      </c>
    </row>
    <row r="1184" spans="1:10" x14ac:dyDescent="0.3">
      <c r="A1184" t="s">
        <v>1214</v>
      </c>
      <c r="B1184" s="1">
        <v>43303</v>
      </c>
      <c r="C1184" t="s">
        <v>15</v>
      </c>
      <c r="D1184" t="s">
        <v>24</v>
      </c>
      <c r="E1184">
        <v>4</v>
      </c>
      <c r="F1184">
        <v>40</v>
      </c>
      <c r="G1184">
        <v>160</v>
      </c>
      <c r="H1184">
        <v>0.11</v>
      </c>
      <c r="I1184">
        <v>17.600000000000001</v>
      </c>
      <c r="J1184" t="s">
        <v>20</v>
      </c>
    </row>
    <row r="1185" spans="1:10" x14ac:dyDescent="0.3">
      <c r="A1185" t="s">
        <v>1215</v>
      </c>
      <c r="B1185" s="1">
        <v>43303</v>
      </c>
      <c r="C1185" t="s">
        <v>30</v>
      </c>
      <c r="D1185" t="s">
        <v>12</v>
      </c>
      <c r="E1185">
        <v>7</v>
      </c>
      <c r="F1185">
        <v>16</v>
      </c>
      <c r="G1185">
        <v>112</v>
      </c>
      <c r="H1185">
        <v>0.12</v>
      </c>
      <c r="I1185">
        <v>13.44</v>
      </c>
      <c r="J1185" t="s">
        <v>22</v>
      </c>
    </row>
    <row r="1186" spans="1:10" x14ac:dyDescent="0.3">
      <c r="A1186" t="s">
        <v>1216</v>
      </c>
      <c r="B1186" s="1">
        <v>43303</v>
      </c>
      <c r="C1186" t="s">
        <v>30</v>
      </c>
      <c r="D1186" t="s">
        <v>16</v>
      </c>
      <c r="E1186">
        <v>22</v>
      </c>
      <c r="F1186">
        <v>16</v>
      </c>
      <c r="G1186">
        <v>352</v>
      </c>
      <c r="H1186">
        <v>0.01</v>
      </c>
      <c r="I1186">
        <v>3.52</v>
      </c>
      <c r="J1186" t="s">
        <v>25</v>
      </c>
    </row>
    <row r="1187" spans="1:10" x14ac:dyDescent="0.3">
      <c r="A1187" t="s">
        <v>1217</v>
      </c>
      <c r="B1187" s="1">
        <v>43303</v>
      </c>
      <c r="C1187" t="s">
        <v>15</v>
      </c>
      <c r="D1187" t="s">
        <v>27</v>
      </c>
      <c r="E1187">
        <v>15</v>
      </c>
      <c r="F1187">
        <v>40</v>
      </c>
      <c r="G1187">
        <v>600</v>
      </c>
      <c r="H1187">
        <v>0.03</v>
      </c>
      <c r="I1187">
        <v>18</v>
      </c>
      <c r="J1187" t="s">
        <v>28</v>
      </c>
    </row>
    <row r="1188" spans="1:10" x14ac:dyDescent="0.3">
      <c r="A1188" t="s">
        <v>1218</v>
      </c>
      <c r="B1188" s="1">
        <v>43303</v>
      </c>
      <c r="C1188" t="s">
        <v>11</v>
      </c>
      <c r="D1188" t="s">
        <v>16</v>
      </c>
      <c r="E1188">
        <v>14</v>
      </c>
      <c r="F1188">
        <v>80</v>
      </c>
      <c r="G1188">
        <v>1120</v>
      </c>
      <c r="H1188">
        <v>0.11</v>
      </c>
      <c r="I1188">
        <v>123.2</v>
      </c>
      <c r="J1188" t="s">
        <v>17</v>
      </c>
    </row>
    <row r="1189" spans="1:10" x14ac:dyDescent="0.3">
      <c r="A1189" t="s">
        <v>1219</v>
      </c>
      <c r="B1189" s="1">
        <v>43303</v>
      </c>
      <c r="C1189" t="s">
        <v>30</v>
      </c>
      <c r="D1189" t="s">
        <v>16</v>
      </c>
      <c r="E1189">
        <v>15</v>
      </c>
      <c r="F1189">
        <v>16</v>
      </c>
      <c r="G1189">
        <v>240</v>
      </c>
      <c r="H1189">
        <v>0.02</v>
      </c>
      <c r="I1189">
        <v>4.8</v>
      </c>
      <c r="J1189" t="s">
        <v>20</v>
      </c>
    </row>
    <row r="1190" spans="1:10" x14ac:dyDescent="0.3">
      <c r="A1190" t="s">
        <v>1220</v>
      </c>
      <c r="B1190" s="1">
        <v>43304</v>
      </c>
      <c r="C1190" t="s">
        <v>11</v>
      </c>
      <c r="D1190" t="s">
        <v>27</v>
      </c>
      <c r="E1190">
        <v>19</v>
      </c>
      <c r="F1190">
        <v>80</v>
      </c>
      <c r="G1190">
        <v>1520</v>
      </c>
      <c r="H1190">
        <v>0.02</v>
      </c>
      <c r="I1190">
        <v>30.4</v>
      </c>
      <c r="J1190" t="s">
        <v>22</v>
      </c>
    </row>
    <row r="1191" spans="1:10" x14ac:dyDescent="0.3">
      <c r="A1191" t="s">
        <v>1221</v>
      </c>
      <c r="B1191" s="1">
        <v>43304</v>
      </c>
      <c r="C1191" t="s">
        <v>15</v>
      </c>
      <c r="D1191" t="s">
        <v>31</v>
      </c>
      <c r="E1191">
        <v>20</v>
      </c>
      <c r="F1191">
        <v>40</v>
      </c>
      <c r="G1191">
        <v>800</v>
      </c>
      <c r="H1191">
        <v>0.05</v>
      </c>
      <c r="I1191">
        <v>40</v>
      </c>
      <c r="J1191" t="s">
        <v>25</v>
      </c>
    </row>
    <row r="1192" spans="1:10" x14ac:dyDescent="0.3">
      <c r="A1192" t="s">
        <v>1222</v>
      </c>
      <c r="B1192" s="1">
        <v>43304</v>
      </c>
      <c r="C1192" t="s">
        <v>15</v>
      </c>
      <c r="D1192" t="s">
        <v>27</v>
      </c>
      <c r="E1192">
        <v>11</v>
      </c>
      <c r="F1192">
        <v>40</v>
      </c>
      <c r="G1192">
        <v>440</v>
      </c>
      <c r="H1192">
        <v>0.06</v>
      </c>
      <c r="I1192">
        <v>26.4</v>
      </c>
      <c r="J1192" t="s">
        <v>28</v>
      </c>
    </row>
    <row r="1193" spans="1:10" x14ac:dyDescent="0.3">
      <c r="A1193" t="s">
        <v>1223</v>
      </c>
      <c r="B1193" s="1">
        <v>43304</v>
      </c>
      <c r="C1193" t="s">
        <v>34</v>
      </c>
      <c r="D1193" t="s">
        <v>24</v>
      </c>
      <c r="E1193">
        <v>11</v>
      </c>
      <c r="F1193">
        <v>150</v>
      </c>
      <c r="G1193">
        <v>1650</v>
      </c>
      <c r="H1193">
        <v>0.05</v>
      </c>
      <c r="I1193">
        <v>82.5</v>
      </c>
      <c r="J1193" t="s">
        <v>32</v>
      </c>
    </row>
    <row r="1194" spans="1:10" x14ac:dyDescent="0.3">
      <c r="A1194" t="s">
        <v>1224</v>
      </c>
      <c r="B1194" s="1">
        <v>43304</v>
      </c>
      <c r="C1194" t="s">
        <v>11</v>
      </c>
      <c r="D1194" t="s">
        <v>27</v>
      </c>
      <c r="E1194">
        <v>23</v>
      </c>
      <c r="F1194">
        <v>80</v>
      </c>
      <c r="G1194">
        <v>1840</v>
      </c>
      <c r="H1194">
        <v>0.11</v>
      </c>
      <c r="I1194">
        <v>202.4</v>
      </c>
      <c r="J1194" t="s">
        <v>35</v>
      </c>
    </row>
    <row r="1195" spans="1:10" x14ac:dyDescent="0.3">
      <c r="A1195" t="s">
        <v>1225</v>
      </c>
      <c r="B1195" s="1">
        <v>43304</v>
      </c>
      <c r="C1195" t="s">
        <v>11</v>
      </c>
      <c r="D1195" t="s">
        <v>12</v>
      </c>
      <c r="E1195">
        <v>8</v>
      </c>
      <c r="F1195">
        <v>80</v>
      </c>
      <c r="G1195">
        <v>640</v>
      </c>
      <c r="H1195">
        <v>0.09</v>
      </c>
      <c r="I1195">
        <v>57.6</v>
      </c>
      <c r="J1195" t="s">
        <v>37</v>
      </c>
    </row>
    <row r="1196" spans="1:10" x14ac:dyDescent="0.3">
      <c r="A1196" t="s">
        <v>1226</v>
      </c>
      <c r="B1196" s="1">
        <v>43304</v>
      </c>
      <c r="C1196" t="s">
        <v>15</v>
      </c>
      <c r="D1196" t="s">
        <v>27</v>
      </c>
      <c r="E1196">
        <v>9</v>
      </c>
      <c r="F1196">
        <v>40</v>
      </c>
      <c r="G1196">
        <v>360</v>
      </c>
      <c r="H1196">
        <v>0.06</v>
      </c>
      <c r="I1196">
        <v>21.6</v>
      </c>
      <c r="J1196" t="s">
        <v>39</v>
      </c>
    </row>
    <row r="1197" spans="1:10" x14ac:dyDescent="0.3">
      <c r="A1197" t="s">
        <v>1227</v>
      </c>
      <c r="B1197" s="1">
        <v>43304</v>
      </c>
      <c r="C1197" t="s">
        <v>19</v>
      </c>
      <c r="D1197" t="s">
        <v>31</v>
      </c>
      <c r="E1197">
        <v>13</v>
      </c>
      <c r="F1197">
        <v>230</v>
      </c>
      <c r="G1197">
        <v>2990</v>
      </c>
      <c r="H1197">
        <v>0.06</v>
      </c>
      <c r="I1197">
        <v>179.4</v>
      </c>
      <c r="J1197" t="s">
        <v>41</v>
      </c>
    </row>
    <row r="1198" spans="1:10" x14ac:dyDescent="0.3">
      <c r="A1198" t="s">
        <v>1228</v>
      </c>
      <c r="B1198" s="1">
        <v>43304</v>
      </c>
      <c r="C1198" t="s">
        <v>15</v>
      </c>
      <c r="D1198" t="s">
        <v>27</v>
      </c>
      <c r="E1198">
        <v>22</v>
      </c>
      <c r="F1198">
        <v>40</v>
      </c>
      <c r="G1198">
        <v>880</v>
      </c>
      <c r="H1198">
        <v>0.01</v>
      </c>
      <c r="I1198">
        <v>8.8000000000000007</v>
      </c>
      <c r="J1198" t="s">
        <v>43</v>
      </c>
    </row>
    <row r="1199" spans="1:10" x14ac:dyDescent="0.3">
      <c r="A1199" t="s">
        <v>1229</v>
      </c>
      <c r="B1199" s="1">
        <v>43304</v>
      </c>
      <c r="C1199" t="s">
        <v>30</v>
      </c>
      <c r="D1199" t="s">
        <v>31</v>
      </c>
      <c r="E1199">
        <v>14</v>
      </c>
      <c r="F1199">
        <v>16</v>
      </c>
      <c r="G1199">
        <v>224</v>
      </c>
      <c r="H1199">
        <v>0.06</v>
      </c>
      <c r="I1199">
        <v>13.44</v>
      </c>
      <c r="J1199" t="s">
        <v>13</v>
      </c>
    </row>
    <row r="1200" spans="1:10" x14ac:dyDescent="0.3">
      <c r="A1200" t="s">
        <v>1230</v>
      </c>
      <c r="B1200" s="1">
        <v>43305</v>
      </c>
      <c r="C1200" t="s">
        <v>11</v>
      </c>
      <c r="D1200" t="s">
        <v>16</v>
      </c>
      <c r="E1200">
        <v>5</v>
      </c>
      <c r="F1200">
        <v>80</v>
      </c>
      <c r="G1200">
        <v>400</v>
      </c>
      <c r="H1200">
        <v>0.04</v>
      </c>
      <c r="I1200">
        <v>16</v>
      </c>
      <c r="J1200" t="s">
        <v>17</v>
      </c>
    </row>
    <row r="1201" spans="1:10" x14ac:dyDescent="0.3">
      <c r="A1201" t="s">
        <v>1231</v>
      </c>
      <c r="B1201" s="1">
        <v>43305</v>
      </c>
      <c r="C1201" t="s">
        <v>34</v>
      </c>
      <c r="D1201" t="s">
        <v>31</v>
      </c>
      <c r="E1201">
        <v>18</v>
      </c>
      <c r="F1201">
        <v>150</v>
      </c>
      <c r="G1201">
        <v>2700</v>
      </c>
      <c r="H1201">
        <v>0.12</v>
      </c>
      <c r="I1201">
        <v>324</v>
      </c>
      <c r="J1201" t="s">
        <v>20</v>
      </c>
    </row>
    <row r="1202" spans="1:10" x14ac:dyDescent="0.3">
      <c r="A1202" t="s">
        <v>1232</v>
      </c>
      <c r="B1202" s="1">
        <v>43305</v>
      </c>
      <c r="C1202" t="s">
        <v>19</v>
      </c>
      <c r="D1202" t="s">
        <v>24</v>
      </c>
      <c r="E1202">
        <v>14</v>
      </c>
      <c r="F1202">
        <v>230</v>
      </c>
      <c r="G1202">
        <v>3220</v>
      </c>
      <c r="H1202">
        <v>0.12</v>
      </c>
      <c r="I1202">
        <v>386.4</v>
      </c>
      <c r="J1202" t="s">
        <v>22</v>
      </c>
    </row>
    <row r="1203" spans="1:10" x14ac:dyDescent="0.3">
      <c r="A1203" t="s">
        <v>1233</v>
      </c>
      <c r="B1203" s="1">
        <v>43305</v>
      </c>
      <c r="C1203" t="s">
        <v>19</v>
      </c>
      <c r="D1203" t="s">
        <v>31</v>
      </c>
      <c r="E1203">
        <v>20</v>
      </c>
      <c r="F1203">
        <v>230</v>
      </c>
      <c r="G1203">
        <v>4600</v>
      </c>
      <c r="H1203">
        <v>0.11</v>
      </c>
      <c r="I1203">
        <v>506</v>
      </c>
      <c r="J1203" t="s">
        <v>25</v>
      </c>
    </row>
    <row r="1204" spans="1:10" x14ac:dyDescent="0.3">
      <c r="A1204" t="s">
        <v>1234</v>
      </c>
      <c r="B1204" s="1">
        <v>43305</v>
      </c>
      <c r="C1204" t="s">
        <v>30</v>
      </c>
      <c r="D1204" t="s">
        <v>31</v>
      </c>
      <c r="E1204">
        <v>3</v>
      </c>
      <c r="F1204">
        <v>16</v>
      </c>
      <c r="G1204">
        <v>48</v>
      </c>
      <c r="H1204">
        <v>0.03</v>
      </c>
      <c r="I1204">
        <v>1.44</v>
      </c>
      <c r="J1204" t="s">
        <v>28</v>
      </c>
    </row>
    <row r="1205" spans="1:10" x14ac:dyDescent="0.3">
      <c r="A1205" t="s">
        <v>1235</v>
      </c>
      <c r="B1205" s="1">
        <v>43305</v>
      </c>
      <c r="C1205" t="s">
        <v>19</v>
      </c>
      <c r="D1205" t="s">
        <v>24</v>
      </c>
      <c r="E1205">
        <v>20</v>
      </c>
      <c r="F1205">
        <v>230</v>
      </c>
      <c r="G1205">
        <v>4600</v>
      </c>
      <c r="H1205">
        <v>0.06</v>
      </c>
      <c r="I1205">
        <v>276</v>
      </c>
      <c r="J1205" t="s">
        <v>17</v>
      </c>
    </row>
    <row r="1206" spans="1:10" x14ac:dyDescent="0.3">
      <c r="A1206" t="s">
        <v>1236</v>
      </c>
      <c r="B1206" s="1">
        <v>43305</v>
      </c>
      <c r="C1206" t="s">
        <v>11</v>
      </c>
      <c r="D1206" t="s">
        <v>31</v>
      </c>
      <c r="E1206">
        <v>9</v>
      </c>
      <c r="F1206">
        <v>80</v>
      </c>
      <c r="G1206">
        <v>720</v>
      </c>
      <c r="H1206">
        <v>0.02</v>
      </c>
      <c r="I1206">
        <v>14.4</v>
      </c>
      <c r="J1206" t="s">
        <v>20</v>
      </c>
    </row>
    <row r="1207" spans="1:10" x14ac:dyDescent="0.3">
      <c r="A1207" t="s">
        <v>1237</v>
      </c>
      <c r="B1207" s="1">
        <v>43305</v>
      </c>
      <c r="C1207" t="s">
        <v>30</v>
      </c>
      <c r="D1207" t="s">
        <v>27</v>
      </c>
      <c r="E1207">
        <v>22</v>
      </c>
      <c r="F1207">
        <v>16</v>
      </c>
      <c r="G1207">
        <v>352</v>
      </c>
      <c r="H1207">
        <v>0.03</v>
      </c>
      <c r="I1207">
        <v>10.56</v>
      </c>
      <c r="J1207" t="s">
        <v>22</v>
      </c>
    </row>
    <row r="1208" spans="1:10" x14ac:dyDescent="0.3">
      <c r="A1208" t="s">
        <v>1238</v>
      </c>
      <c r="B1208" s="1">
        <v>43305</v>
      </c>
      <c r="C1208" t="s">
        <v>11</v>
      </c>
      <c r="D1208" t="s">
        <v>16</v>
      </c>
      <c r="E1208">
        <v>15</v>
      </c>
      <c r="F1208">
        <v>80</v>
      </c>
      <c r="G1208">
        <v>1200</v>
      </c>
      <c r="H1208">
        <v>0.12</v>
      </c>
      <c r="I1208">
        <v>144</v>
      </c>
      <c r="J1208" t="s">
        <v>25</v>
      </c>
    </row>
    <row r="1209" spans="1:10" x14ac:dyDescent="0.3">
      <c r="A1209" t="s">
        <v>1239</v>
      </c>
      <c r="B1209" s="1">
        <v>43305</v>
      </c>
      <c r="C1209" t="s">
        <v>34</v>
      </c>
      <c r="D1209" t="s">
        <v>12</v>
      </c>
      <c r="E1209">
        <v>11</v>
      </c>
      <c r="F1209">
        <v>150</v>
      </c>
      <c r="G1209">
        <v>1650</v>
      </c>
      <c r="H1209">
        <v>0.05</v>
      </c>
      <c r="I1209">
        <v>82.5</v>
      </c>
      <c r="J1209" t="s">
        <v>28</v>
      </c>
    </row>
    <row r="1210" spans="1:10" x14ac:dyDescent="0.3">
      <c r="A1210" t="s">
        <v>1240</v>
      </c>
      <c r="B1210" s="1">
        <v>43305</v>
      </c>
      <c r="C1210" t="s">
        <v>19</v>
      </c>
      <c r="D1210" t="s">
        <v>27</v>
      </c>
      <c r="E1210">
        <v>11</v>
      </c>
      <c r="F1210">
        <v>230</v>
      </c>
      <c r="G1210">
        <v>2530</v>
      </c>
      <c r="H1210">
        <v>0.12</v>
      </c>
      <c r="I1210">
        <v>303.60000000000002</v>
      </c>
      <c r="J1210" t="s">
        <v>32</v>
      </c>
    </row>
    <row r="1211" spans="1:10" x14ac:dyDescent="0.3">
      <c r="A1211" t="s">
        <v>1241</v>
      </c>
      <c r="B1211" s="1">
        <v>43305</v>
      </c>
      <c r="C1211" t="s">
        <v>34</v>
      </c>
      <c r="D1211" t="s">
        <v>12</v>
      </c>
      <c r="E1211">
        <v>20</v>
      </c>
      <c r="F1211">
        <v>150</v>
      </c>
      <c r="G1211">
        <v>3000</v>
      </c>
      <c r="H1211">
        <v>0.01</v>
      </c>
      <c r="I1211">
        <v>30</v>
      </c>
      <c r="J1211" t="s">
        <v>35</v>
      </c>
    </row>
    <row r="1212" spans="1:10" x14ac:dyDescent="0.3">
      <c r="A1212" t="s">
        <v>1242</v>
      </c>
      <c r="B1212" s="1">
        <v>43305</v>
      </c>
      <c r="C1212" t="s">
        <v>15</v>
      </c>
      <c r="D1212" t="s">
        <v>24</v>
      </c>
      <c r="E1212">
        <v>11</v>
      </c>
      <c r="F1212">
        <v>40</v>
      </c>
      <c r="G1212">
        <v>440</v>
      </c>
      <c r="H1212">
        <v>0.12</v>
      </c>
      <c r="I1212">
        <v>52.8</v>
      </c>
      <c r="J1212" t="s">
        <v>37</v>
      </c>
    </row>
    <row r="1213" spans="1:10" x14ac:dyDescent="0.3">
      <c r="A1213" t="s">
        <v>1243</v>
      </c>
      <c r="B1213" s="1">
        <v>43306</v>
      </c>
      <c r="C1213" t="s">
        <v>19</v>
      </c>
      <c r="D1213" t="s">
        <v>24</v>
      </c>
      <c r="E1213">
        <v>12</v>
      </c>
      <c r="F1213">
        <v>230</v>
      </c>
      <c r="G1213">
        <v>2760</v>
      </c>
      <c r="H1213">
        <v>0.06</v>
      </c>
      <c r="I1213">
        <v>165.6</v>
      </c>
      <c r="J1213" t="s">
        <v>39</v>
      </c>
    </row>
    <row r="1214" spans="1:10" x14ac:dyDescent="0.3">
      <c r="A1214" t="s">
        <v>1244</v>
      </c>
      <c r="B1214" s="1">
        <v>43306</v>
      </c>
      <c r="C1214" t="s">
        <v>15</v>
      </c>
      <c r="D1214" t="s">
        <v>12</v>
      </c>
      <c r="E1214">
        <v>15</v>
      </c>
      <c r="F1214">
        <v>40</v>
      </c>
      <c r="G1214">
        <v>600</v>
      </c>
      <c r="H1214">
        <v>0.06</v>
      </c>
      <c r="I1214">
        <v>36</v>
      </c>
      <c r="J1214" t="s">
        <v>41</v>
      </c>
    </row>
    <row r="1215" spans="1:10" x14ac:dyDescent="0.3">
      <c r="A1215" t="s">
        <v>1245</v>
      </c>
      <c r="B1215" s="1">
        <v>43306</v>
      </c>
      <c r="C1215" t="s">
        <v>15</v>
      </c>
      <c r="D1215" t="s">
        <v>27</v>
      </c>
      <c r="E1215">
        <v>13</v>
      </c>
      <c r="F1215">
        <v>40</v>
      </c>
      <c r="G1215">
        <v>520</v>
      </c>
      <c r="H1215">
        <v>0.09</v>
      </c>
      <c r="I1215">
        <v>46.8</v>
      </c>
      <c r="J1215" t="s">
        <v>43</v>
      </c>
    </row>
    <row r="1216" spans="1:10" x14ac:dyDescent="0.3">
      <c r="A1216" t="s">
        <v>1246</v>
      </c>
      <c r="B1216" s="1">
        <v>43306</v>
      </c>
      <c r="C1216" t="s">
        <v>15</v>
      </c>
      <c r="D1216" t="s">
        <v>31</v>
      </c>
      <c r="E1216">
        <v>4</v>
      </c>
      <c r="F1216">
        <v>40</v>
      </c>
      <c r="G1216">
        <v>160</v>
      </c>
      <c r="H1216">
        <v>0.09</v>
      </c>
      <c r="I1216">
        <v>14.4</v>
      </c>
      <c r="J1216" t="s">
        <v>13</v>
      </c>
    </row>
    <row r="1217" spans="1:10" x14ac:dyDescent="0.3">
      <c r="A1217" t="s">
        <v>1247</v>
      </c>
      <c r="B1217" s="1">
        <v>43306</v>
      </c>
      <c r="C1217" t="s">
        <v>19</v>
      </c>
      <c r="D1217" t="s">
        <v>27</v>
      </c>
      <c r="E1217">
        <v>18</v>
      </c>
      <c r="F1217">
        <v>230</v>
      </c>
      <c r="G1217">
        <v>4140</v>
      </c>
      <c r="H1217">
        <v>0.01</v>
      </c>
      <c r="I1217">
        <v>41.4</v>
      </c>
      <c r="J1217" t="s">
        <v>17</v>
      </c>
    </row>
    <row r="1218" spans="1:10" x14ac:dyDescent="0.3">
      <c r="A1218" t="s">
        <v>1248</v>
      </c>
      <c r="B1218" s="1">
        <v>43306</v>
      </c>
      <c r="C1218" t="s">
        <v>30</v>
      </c>
      <c r="D1218" t="s">
        <v>12</v>
      </c>
      <c r="E1218">
        <v>7</v>
      </c>
      <c r="F1218">
        <v>16</v>
      </c>
      <c r="G1218">
        <v>112</v>
      </c>
      <c r="H1218">
        <v>0.02</v>
      </c>
      <c r="I1218">
        <v>2.2400000000000002</v>
      </c>
      <c r="J1218" t="s">
        <v>20</v>
      </c>
    </row>
    <row r="1219" spans="1:10" x14ac:dyDescent="0.3">
      <c r="A1219" t="s">
        <v>1249</v>
      </c>
      <c r="B1219" s="1">
        <v>43306</v>
      </c>
      <c r="C1219" t="s">
        <v>30</v>
      </c>
      <c r="D1219" t="s">
        <v>24</v>
      </c>
      <c r="E1219">
        <v>6</v>
      </c>
      <c r="F1219">
        <v>16</v>
      </c>
      <c r="G1219">
        <v>96</v>
      </c>
      <c r="H1219">
        <v>7.0000000000000007E-2</v>
      </c>
      <c r="I1219">
        <v>6.72</v>
      </c>
      <c r="J1219" t="s">
        <v>22</v>
      </c>
    </row>
    <row r="1220" spans="1:10" x14ac:dyDescent="0.3">
      <c r="A1220" t="s">
        <v>1250</v>
      </c>
      <c r="B1220" s="1">
        <v>43306</v>
      </c>
      <c r="C1220" t="s">
        <v>19</v>
      </c>
      <c r="D1220" t="s">
        <v>27</v>
      </c>
      <c r="E1220">
        <v>8</v>
      </c>
      <c r="F1220">
        <v>230</v>
      </c>
      <c r="G1220">
        <v>1840</v>
      </c>
      <c r="H1220">
        <v>0.05</v>
      </c>
      <c r="I1220">
        <v>92</v>
      </c>
      <c r="J1220" t="s">
        <v>25</v>
      </c>
    </row>
    <row r="1221" spans="1:10" x14ac:dyDescent="0.3">
      <c r="A1221" t="s">
        <v>1251</v>
      </c>
      <c r="B1221" s="1">
        <v>43306</v>
      </c>
      <c r="C1221" t="s">
        <v>30</v>
      </c>
      <c r="D1221" t="s">
        <v>24</v>
      </c>
      <c r="E1221">
        <v>12</v>
      </c>
      <c r="F1221">
        <v>16</v>
      </c>
      <c r="G1221">
        <v>192</v>
      </c>
      <c r="H1221">
        <v>0.11</v>
      </c>
      <c r="I1221">
        <v>21.12</v>
      </c>
      <c r="J1221" t="s">
        <v>28</v>
      </c>
    </row>
    <row r="1222" spans="1:10" x14ac:dyDescent="0.3">
      <c r="A1222" t="s">
        <v>1252</v>
      </c>
      <c r="B1222" s="1">
        <v>43306</v>
      </c>
      <c r="C1222" t="s">
        <v>19</v>
      </c>
      <c r="D1222" t="s">
        <v>12</v>
      </c>
      <c r="E1222">
        <v>11</v>
      </c>
      <c r="F1222">
        <v>230</v>
      </c>
      <c r="G1222">
        <v>2530</v>
      </c>
      <c r="H1222">
        <v>0.02</v>
      </c>
      <c r="I1222">
        <v>50.6</v>
      </c>
      <c r="J1222" t="s">
        <v>17</v>
      </c>
    </row>
    <row r="1223" spans="1:10" x14ac:dyDescent="0.3">
      <c r="A1223" t="s">
        <v>1253</v>
      </c>
      <c r="B1223" s="1">
        <v>43306</v>
      </c>
      <c r="C1223" t="s">
        <v>30</v>
      </c>
      <c r="D1223" t="s">
        <v>24</v>
      </c>
      <c r="E1223">
        <v>3</v>
      </c>
      <c r="F1223">
        <v>16</v>
      </c>
      <c r="G1223">
        <v>48</v>
      </c>
      <c r="H1223">
        <v>0.05</v>
      </c>
      <c r="I1223">
        <v>2.4</v>
      </c>
      <c r="J1223" t="s">
        <v>20</v>
      </c>
    </row>
    <row r="1224" spans="1:10" x14ac:dyDescent="0.3">
      <c r="A1224" t="s">
        <v>1254</v>
      </c>
      <c r="B1224" s="1">
        <v>43307</v>
      </c>
      <c r="C1224" t="s">
        <v>34</v>
      </c>
      <c r="D1224" t="s">
        <v>16</v>
      </c>
      <c r="E1224">
        <v>16</v>
      </c>
      <c r="F1224">
        <v>150</v>
      </c>
      <c r="G1224">
        <v>2400</v>
      </c>
      <c r="H1224">
        <v>0.05</v>
      </c>
      <c r="I1224">
        <v>120</v>
      </c>
      <c r="J1224" t="s">
        <v>22</v>
      </c>
    </row>
    <row r="1225" spans="1:10" x14ac:dyDescent="0.3">
      <c r="A1225" t="s">
        <v>1255</v>
      </c>
      <c r="B1225" s="1">
        <v>43307</v>
      </c>
      <c r="C1225" t="s">
        <v>19</v>
      </c>
      <c r="D1225" t="s">
        <v>27</v>
      </c>
      <c r="E1225">
        <v>8</v>
      </c>
      <c r="F1225">
        <v>230</v>
      </c>
      <c r="G1225">
        <v>1840</v>
      </c>
      <c r="H1225">
        <v>0.01</v>
      </c>
      <c r="I1225">
        <v>18.399999999999999</v>
      </c>
      <c r="J1225" t="s">
        <v>25</v>
      </c>
    </row>
    <row r="1226" spans="1:10" x14ac:dyDescent="0.3">
      <c r="A1226" t="s">
        <v>1256</v>
      </c>
      <c r="B1226" s="1">
        <v>43307</v>
      </c>
      <c r="C1226" t="s">
        <v>11</v>
      </c>
      <c r="D1226" t="s">
        <v>24</v>
      </c>
      <c r="E1226">
        <v>16</v>
      </c>
      <c r="F1226">
        <v>80</v>
      </c>
      <c r="G1226">
        <v>1280</v>
      </c>
      <c r="H1226">
        <v>0.04</v>
      </c>
      <c r="I1226">
        <v>51.2</v>
      </c>
      <c r="J1226" t="s">
        <v>28</v>
      </c>
    </row>
    <row r="1227" spans="1:10" x14ac:dyDescent="0.3">
      <c r="A1227" t="s">
        <v>1257</v>
      </c>
      <c r="B1227" s="1">
        <v>43307</v>
      </c>
      <c r="C1227" t="s">
        <v>30</v>
      </c>
      <c r="D1227" t="s">
        <v>27</v>
      </c>
      <c r="E1227">
        <v>18</v>
      </c>
      <c r="F1227">
        <v>16</v>
      </c>
      <c r="G1227">
        <v>288</v>
      </c>
      <c r="H1227">
        <v>0.04</v>
      </c>
      <c r="I1227">
        <v>11.52</v>
      </c>
      <c r="J1227" t="s">
        <v>32</v>
      </c>
    </row>
    <row r="1228" spans="1:10" x14ac:dyDescent="0.3">
      <c r="A1228" t="s">
        <v>1258</v>
      </c>
      <c r="B1228" s="1">
        <v>43307</v>
      </c>
      <c r="C1228" t="s">
        <v>15</v>
      </c>
      <c r="D1228" t="s">
        <v>31</v>
      </c>
      <c r="E1228">
        <v>14</v>
      </c>
      <c r="F1228">
        <v>40</v>
      </c>
      <c r="G1228">
        <v>560</v>
      </c>
      <c r="H1228">
        <v>0.11</v>
      </c>
      <c r="I1228">
        <v>61.6</v>
      </c>
      <c r="J1228" t="s">
        <v>35</v>
      </c>
    </row>
    <row r="1229" spans="1:10" x14ac:dyDescent="0.3">
      <c r="A1229" t="s">
        <v>1259</v>
      </c>
      <c r="B1229" s="1">
        <v>43307</v>
      </c>
      <c r="C1229" t="s">
        <v>30</v>
      </c>
      <c r="D1229" t="s">
        <v>16</v>
      </c>
      <c r="E1229">
        <v>21</v>
      </c>
      <c r="F1229">
        <v>16</v>
      </c>
      <c r="G1229">
        <v>336</v>
      </c>
      <c r="H1229">
        <v>0.02</v>
      </c>
      <c r="I1229">
        <v>6.72</v>
      </c>
      <c r="J1229" t="s">
        <v>37</v>
      </c>
    </row>
    <row r="1230" spans="1:10" x14ac:dyDescent="0.3">
      <c r="A1230" t="s">
        <v>1260</v>
      </c>
      <c r="B1230" s="1">
        <v>43307</v>
      </c>
      <c r="C1230" t="s">
        <v>30</v>
      </c>
      <c r="D1230" t="s">
        <v>16</v>
      </c>
      <c r="E1230">
        <v>7</v>
      </c>
      <c r="F1230">
        <v>16</v>
      </c>
      <c r="G1230">
        <v>112</v>
      </c>
      <c r="H1230">
        <v>0.08</v>
      </c>
      <c r="I1230">
        <v>8.9600000000000009</v>
      </c>
      <c r="J1230" t="s">
        <v>39</v>
      </c>
    </row>
    <row r="1231" spans="1:10" x14ac:dyDescent="0.3">
      <c r="A1231" t="s">
        <v>1261</v>
      </c>
      <c r="B1231" s="1">
        <v>43307</v>
      </c>
      <c r="C1231" t="s">
        <v>11</v>
      </c>
      <c r="D1231" t="s">
        <v>24</v>
      </c>
      <c r="E1231">
        <v>7</v>
      </c>
      <c r="F1231">
        <v>80</v>
      </c>
      <c r="G1231">
        <v>560</v>
      </c>
      <c r="H1231">
        <v>0.05</v>
      </c>
      <c r="I1231">
        <v>28</v>
      </c>
      <c r="J1231" t="s">
        <v>41</v>
      </c>
    </row>
    <row r="1232" spans="1:10" x14ac:dyDescent="0.3">
      <c r="A1232" t="s">
        <v>1262</v>
      </c>
      <c r="B1232" s="1">
        <v>43307</v>
      </c>
      <c r="C1232" t="s">
        <v>15</v>
      </c>
      <c r="D1232" t="s">
        <v>31</v>
      </c>
      <c r="E1232">
        <v>16</v>
      </c>
      <c r="F1232">
        <v>40</v>
      </c>
      <c r="G1232">
        <v>640</v>
      </c>
      <c r="H1232">
        <v>0.09</v>
      </c>
      <c r="I1232">
        <v>57.6</v>
      </c>
      <c r="J1232" t="s">
        <v>43</v>
      </c>
    </row>
    <row r="1233" spans="1:10" x14ac:dyDescent="0.3">
      <c r="A1233" t="s">
        <v>1263</v>
      </c>
      <c r="B1233" s="1">
        <v>43307</v>
      </c>
      <c r="C1233" t="s">
        <v>19</v>
      </c>
      <c r="D1233" t="s">
        <v>31</v>
      </c>
      <c r="E1233">
        <v>22</v>
      </c>
      <c r="F1233">
        <v>230</v>
      </c>
      <c r="G1233">
        <v>5060</v>
      </c>
      <c r="H1233">
        <v>0.1</v>
      </c>
      <c r="I1233">
        <v>506</v>
      </c>
      <c r="J1233" t="s">
        <v>13</v>
      </c>
    </row>
    <row r="1234" spans="1:10" x14ac:dyDescent="0.3">
      <c r="A1234" t="s">
        <v>1264</v>
      </c>
      <c r="B1234" s="1">
        <v>43307</v>
      </c>
      <c r="C1234" t="s">
        <v>15</v>
      </c>
      <c r="D1234" t="s">
        <v>16</v>
      </c>
      <c r="E1234">
        <v>4</v>
      </c>
      <c r="F1234">
        <v>40</v>
      </c>
      <c r="G1234">
        <v>160</v>
      </c>
      <c r="H1234">
        <v>0.03</v>
      </c>
      <c r="I1234">
        <v>4.8</v>
      </c>
      <c r="J1234" t="s">
        <v>17</v>
      </c>
    </row>
    <row r="1235" spans="1:10" x14ac:dyDescent="0.3">
      <c r="A1235" t="s">
        <v>1265</v>
      </c>
      <c r="B1235" s="1">
        <v>43307</v>
      </c>
      <c r="C1235" t="s">
        <v>19</v>
      </c>
      <c r="D1235" t="s">
        <v>31</v>
      </c>
      <c r="E1235">
        <v>3</v>
      </c>
      <c r="F1235">
        <v>230</v>
      </c>
      <c r="G1235">
        <v>690</v>
      </c>
      <c r="H1235">
        <v>0.1</v>
      </c>
      <c r="I1235">
        <v>69</v>
      </c>
      <c r="J1235" t="s">
        <v>20</v>
      </c>
    </row>
    <row r="1236" spans="1:10" x14ac:dyDescent="0.3">
      <c r="A1236" t="s">
        <v>1266</v>
      </c>
      <c r="B1236" s="1">
        <v>43307</v>
      </c>
      <c r="C1236" t="s">
        <v>11</v>
      </c>
      <c r="D1236" t="s">
        <v>16</v>
      </c>
      <c r="E1236">
        <v>14</v>
      </c>
      <c r="F1236">
        <v>80</v>
      </c>
      <c r="G1236">
        <v>1120</v>
      </c>
      <c r="H1236">
        <v>0.11</v>
      </c>
      <c r="I1236">
        <v>123.2</v>
      </c>
      <c r="J1236" t="s">
        <v>22</v>
      </c>
    </row>
    <row r="1237" spans="1:10" x14ac:dyDescent="0.3">
      <c r="A1237" t="s">
        <v>1267</v>
      </c>
      <c r="B1237" s="1">
        <v>43308</v>
      </c>
      <c r="C1237" t="s">
        <v>15</v>
      </c>
      <c r="D1237" t="s">
        <v>31</v>
      </c>
      <c r="E1237">
        <v>21</v>
      </c>
      <c r="F1237">
        <v>40</v>
      </c>
      <c r="G1237">
        <v>840</v>
      </c>
      <c r="H1237">
        <v>0.01</v>
      </c>
      <c r="I1237">
        <v>8.4</v>
      </c>
      <c r="J1237" t="s">
        <v>25</v>
      </c>
    </row>
    <row r="1238" spans="1:10" x14ac:dyDescent="0.3">
      <c r="A1238" t="s">
        <v>1268</v>
      </c>
      <c r="B1238" s="1">
        <v>43308</v>
      </c>
      <c r="C1238" t="s">
        <v>30</v>
      </c>
      <c r="D1238" t="s">
        <v>16</v>
      </c>
      <c r="E1238">
        <v>20</v>
      </c>
      <c r="F1238">
        <v>16</v>
      </c>
      <c r="G1238">
        <v>320</v>
      </c>
      <c r="H1238">
        <v>0.06</v>
      </c>
      <c r="I1238">
        <v>19.2</v>
      </c>
      <c r="J1238" t="s">
        <v>28</v>
      </c>
    </row>
    <row r="1239" spans="1:10" x14ac:dyDescent="0.3">
      <c r="A1239" t="s">
        <v>1269</v>
      </c>
      <c r="B1239" s="1">
        <v>43308</v>
      </c>
      <c r="C1239" t="s">
        <v>11</v>
      </c>
      <c r="D1239" t="s">
        <v>31</v>
      </c>
      <c r="E1239">
        <v>22</v>
      </c>
      <c r="F1239">
        <v>80</v>
      </c>
      <c r="G1239">
        <v>1760</v>
      </c>
      <c r="H1239">
        <v>0.11</v>
      </c>
      <c r="I1239">
        <v>193.6</v>
      </c>
      <c r="J1239" t="s">
        <v>17</v>
      </c>
    </row>
    <row r="1240" spans="1:10" x14ac:dyDescent="0.3">
      <c r="A1240" t="s">
        <v>1270</v>
      </c>
      <c r="B1240" s="1">
        <v>43308</v>
      </c>
      <c r="C1240" t="s">
        <v>15</v>
      </c>
      <c r="D1240" t="s">
        <v>12</v>
      </c>
      <c r="E1240">
        <v>7</v>
      </c>
      <c r="F1240">
        <v>40</v>
      </c>
      <c r="G1240">
        <v>280</v>
      </c>
      <c r="H1240">
        <v>0.1</v>
      </c>
      <c r="I1240">
        <v>28</v>
      </c>
      <c r="J1240" t="s">
        <v>20</v>
      </c>
    </row>
    <row r="1241" spans="1:10" x14ac:dyDescent="0.3">
      <c r="A1241" t="s">
        <v>1271</v>
      </c>
      <c r="B1241" s="1">
        <v>43308</v>
      </c>
      <c r="C1241" t="s">
        <v>34</v>
      </c>
      <c r="D1241" t="s">
        <v>16</v>
      </c>
      <c r="E1241">
        <v>16</v>
      </c>
      <c r="F1241">
        <v>150</v>
      </c>
      <c r="G1241">
        <v>2400</v>
      </c>
      <c r="H1241">
        <v>0.05</v>
      </c>
      <c r="I1241">
        <v>120</v>
      </c>
      <c r="J1241" t="s">
        <v>22</v>
      </c>
    </row>
    <row r="1242" spans="1:10" x14ac:dyDescent="0.3">
      <c r="A1242" t="s">
        <v>1272</v>
      </c>
      <c r="B1242" s="1">
        <v>43308</v>
      </c>
      <c r="C1242" t="s">
        <v>19</v>
      </c>
      <c r="D1242" t="s">
        <v>16</v>
      </c>
      <c r="E1242">
        <v>7</v>
      </c>
      <c r="F1242">
        <v>230</v>
      </c>
      <c r="G1242">
        <v>1610</v>
      </c>
      <c r="H1242">
        <v>0.05</v>
      </c>
      <c r="I1242">
        <v>80.5</v>
      </c>
      <c r="J1242" t="s">
        <v>25</v>
      </c>
    </row>
    <row r="1243" spans="1:10" x14ac:dyDescent="0.3">
      <c r="A1243" t="s">
        <v>1273</v>
      </c>
      <c r="B1243" s="1">
        <v>43308</v>
      </c>
      <c r="C1243" t="s">
        <v>34</v>
      </c>
      <c r="D1243" t="s">
        <v>12</v>
      </c>
      <c r="E1243">
        <v>20</v>
      </c>
      <c r="F1243">
        <v>150</v>
      </c>
      <c r="G1243">
        <v>3000</v>
      </c>
      <c r="H1243">
        <v>0.03</v>
      </c>
      <c r="I1243">
        <v>90</v>
      </c>
      <c r="J1243" t="s">
        <v>28</v>
      </c>
    </row>
    <row r="1244" spans="1:10" x14ac:dyDescent="0.3">
      <c r="A1244" t="s">
        <v>1274</v>
      </c>
      <c r="B1244" s="1">
        <v>43308</v>
      </c>
      <c r="C1244" t="s">
        <v>34</v>
      </c>
      <c r="D1244" t="s">
        <v>16</v>
      </c>
      <c r="E1244">
        <v>16</v>
      </c>
      <c r="F1244">
        <v>150</v>
      </c>
      <c r="G1244">
        <v>2400</v>
      </c>
      <c r="H1244">
        <v>0.03</v>
      </c>
      <c r="I1244">
        <v>72</v>
      </c>
      <c r="J1244" t="s">
        <v>32</v>
      </c>
    </row>
    <row r="1245" spans="1:10" x14ac:dyDescent="0.3">
      <c r="A1245" t="s">
        <v>1275</v>
      </c>
      <c r="B1245" s="1">
        <v>43308</v>
      </c>
      <c r="C1245" t="s">
        <v>30</v>
      </c>
      <c r="D1245" t="s">
        <v>27</v>
      </c>
      <c r="E1245">
        <v>10</v>
      </c>
      <c r="F1245">
        <v>16</v>
      </c>
      <c r="G1245">
        <v>160</v>
      </c>
      <c r="H1245">
        <v>0.04</v>
      </c>
      <c r="I1245">
        <v>6.4</v>
      </c>
      <c r="J1245" t="s">
        <v>35</v>
      </c>
    </row>
    <row r="1246" spans="1:10" x14ac:dyDescent="0.3">
      <c r="A1246" t="s">
        <v>1276</v>
      </c>
      <c r="B1246" s="1">
        <v>43308</v>
      </c>
      <c r="C1246" t="s">
        <v>11</v>
      </c>
      <c r="D1246" t="s">
        <v>31</v>
      </c>
      <c r="E1246">
        <v>6</v>
      </c>
      <c r="F1246">
        <v>80</v>
      </c>
      <c r="G1246">
        <v>480</v>
      </c>
      <c r="H1246">
        <v>0.09</v>
      </c>
      <c r="I1246">
        <v>43.2</v>
      </c>
      <c r="J1246" t="s">
        <v>37</v>
      </c>
    </row>
    <row r="1247" spans="1:10" x14ac:dyDescent="0.3">
      <c r="A1247" t="s">
        <v>1277</v>
      </c>
      <c r="B1247" s="1">
        <v>43308</v>
      </c>
      <c r="C1247" t="s">
        <v>11</v>
      </c>
      <c r="D1247" t="s">
        <v>12</v>
      </c>
      <c r="E1247">
        <v>17</v>
      </c>
      <c r="F1247">
        <v>80</v>
      </c>
      <c r="G1247">
        <v>1360</v>
      </c>
      <c r="H1247">
        <v>0.09</v>
      </c>
      <c r="I1247">
        <v>122.4</v>
      </c>
      <c r="J1247" t="s">
        <v>39</v>
      </c>
    </row>
    <row r="1248" spans="1:10" x14ac:dyDescent="0.3">
      <c r="A1248" t="s">
        <v>1278</v>
      </c>
      <c r="B1248" s="1">
        <v>43308</v>
      </c>
      <c r="C1248" t="s">
        <v>15</v>
      </c>
      <c r="D1248" t="s">
        <v>12</v>
      </c>
      <c r="E1248">
        <v>19</v>
      </c>
      <c r="F1248">
        <v>40</v>
      </c>
      <c r="G1248">
        <v>760</v>
      </c>
      <c r="H1248">
        <v>0.04</v>
      </c>
      <c r="I1248">
        <v>30.4</v>
      </c>
      <c r="J1248" t="s">
        <v>41</v>
      </c>
    </row>
    <row r="1249" spans="1:10" x14ac:dyDescent="0.3">
      <c r="A1249" t="s">
        <v>1279</v>
      </c>
      <c r="B1249" s="1">
        <v>43308</v>
      </c>
      <c r="C1249" t="s">
        <v>15</v>
      </c>
      <c r="D1249" t="s">
        <v>31</v>
      </c>
      <c r="E1249">
        <v>16</v>
      </c>
      <c r="F1249">
        <v>40</v>
      </c>
      <c r="G1249">
        <v>640</v>
      </c>
      <c r="H1249">
        <v>0.09</v>
      </c>
      <c r="I1249">
        <v>57.6</v>
      </c>
      <c r="J1249" t="s">
        <v>43</v>
      </c>
    </row>
    <row r="1250" spans="1:10" x14ac:dyDescent="0.3">
      <c r="A1250" t="s">
        <v>1280</v>
      </c>
      <c r="B1250" s="1">
        <v>43308</v>
      </c>
      <c r="C1250" t="s">
        <v>30</v>
      </c>
      <c r="D1250" t="s">
        <v>12</v>
      </c>
      <c r="E1250">
        <v>4</v>
      </c>
      <c r="F1250">
        <v>16</v>
      </c>
      <c r="G1250">
        <v>64</v>
      </c>
      <c r="H1250">
        <v>0.12</v>
      </c>
      <c r="I1250">
        <v>7.68</v>
      </c>
      <c r="J1250" t="s">
        <v>13</v>
      </c>
    </row>
    <row r="1251" spans="1:10" x14ac:dyDescent="0.3">
      <c r="A1251" t="s">
        <v>1281</v>
      </c>
      <c r="B1251" s="1">
        <v>43308</v>
      </c>
      <c r="C1251" t="s">
        <v>34</v>
      </c>
      <c r="D1251" t="s">
        <v>27</v>
      </c>
      <c r="E1251">
        <v>9</v>
      </c>
      <c r="F1251">
        <v>150</v>
      </c>
      <c r="G1251">
        <v>1350</v>
      </c>
      <c r="H1251">
        <v>0.02</v>
      </c>
      <c r="I1251">
        <v>27</v>
      </c>
      <c r="J1251" t="s">
        <v>17</v>
      </c>
    </row>
    <row r="1252" spans="1:10" x14ac:dyDescent="0.3">
      <c r="A1252" t="s">
        <v>1282</v>
      </c>
      <c r="B1252" s="1">
        <v>43308</v>
      </c>
      <c r="C1252" t="s">
        <v>30</v>
      </c>
      <c r="D1252" t="s">
        <v>12</v>
      </c>
      <c r="E1252">
        <v>11</v>
      </c>
      <c r="F1252">
        <v>16</v>
      </c>
      <c r="G1252">
        <v>176</v>
      </c>
      <c r="H1252">
        <v>0.09</v>
      </c>
      <c r="I1252">
        <v>15.84</v>
      </c>
      <c r="J1252" t="s">
        <v>20</v>
      </c>
    </row>
    <row r="1253" spans="1:10" x14ac:dyDescent="0.3">
      <c r="A1253" t="s">
        <v>1283</v>
      </c>
      <c r="B1253" s="1">
        <v>43308</v>
      </c>
      <c r="C1253" t="s">
        <v>11</v>
      </c>
      <c r="D1253" t="s">
        <v>16</v>
      </c>
      <c r="E1253">
        <v>17</v>
      </c>
      <c r="F1253">
        <v>80</v>
      </c>
      <c r="G1253">
        <v>1360</v>
      </c>
      <c r="H1253">
        <v>0.03</v>
      </c>
      <c r="I1253">
        <v>40.799999999999997</v>
      </c>
      <c r="J1253" t="s">
        <v>22</v>
      </c>
    </row>
    <row r="1254" spans="1:10" x14ac:dyDescent="0.3">
      <c r="A1254" t="s">
        <v>1284</v>
      </c>
      <c r="B1254" s="1">
        <v>43309</v>
      </c>
      <c r="C1254" t="s">
        <v>34</v>
      </c>
      <c r="D1254" t="s">
        <v>12</v>
      </c>
      <c r="E1254">
        <v>3</v>
      </c>
      <c r="F1254">
        <v>150</v>
      </c>
      <c r="G1254">
        <v>450</v>
      </c>
      <c r="H1254">
        <v>0.03</v>
      </c>
      <c r="I1254">
        <v>13.5</v>
      </c>
      <c r="J1254" t="s">
        <v>25</v>
      </c>
    </row>
    <row r="1255" spans="1:10" x14ac:dyDescent="0.3">
      <c r="A1255" t="s">
        <v>1285</v>
      </c>
      <c r="B1255" s="1">
        <v>43309</v>
      </c>
      <c r="C1255" t="s">
        <v>19</v>
      </c>
      <c r="D1255" t="s">
        <v>27</v>
      </c>
      <c r="E1255">
        <v>2</v>
      </c>
      <c r="F1255">
        <v>230</v>
      </c>
      <c r="G1255">
        <v>460</v>
      </c>
      <c r="H1255">
        <v>0.08</v>
      </c>
      <c r="I1255">
        <v>36.799999999999997</v>
      </c>
      <c r="J1255" t="s">
        <v>28</v>
      </c>
    </row>
    <row r="1256" spans="1:10" x14ac:dyDescent="0.3">
      <c r="A1256" t="s">
        <v>1286</v>
      </c>
      <c r="B1256" s="1">
        <v>43309</v>
      </c>
      <c r="C1256" t="s">
        <v>19</v>
      </c>
      <c r="D1256" t="s">
        <v>27</v>
      </c>
      <c r="E1256">
        <v>17</v>
      </c>
      <c r="F1256">
        <v>230</v>
      </c>
      <c r="G1256">
        <v>3910</v>
      </c>
      <c r="H1256">
        <v>0.12</v>
      </c>
      <c r="I1256">
        <v>469.2</v>
      </c>
      <c r="J1256" t="s">
        <v>17</v>
      </c>
    </row>
    <row r="1257" spans="1:10" x14ac:dyDescent="0.3">
      <c r="A1257" t="s">
        <v>1287</v>
      </c>
      <c r="B1257" s="1">
        <v>43309</v>
      </c>
      <c r="C1257" t="s">
        <v>34</v>
      </c>
      <c r="D1257" t="s">
        <v>16</v>
      </c>
      <c r="E1257">
        <v>2</v>
      </c>
      <c r="F1257">
        <v>150</v>
      </c>
      <c r="G1257">
        <v>300</v>
      </c>
      <c r="H1257">
        <v>0.09</v>
      </c>
      <c r="I1257">
        <v>27</v>
      </c>
      <c r="J1257" t="s">
        <v>20</v>
      </c>
    </row>
    <row r="1258" spans="1:10" x14ac:dyDescent="0.3">
      <c r="A1258" t="s">
        <v>1288</v>
      </c>
      <c r="B1258" s="1">
        <v>43309</v>
      </c>
      <c r="C1258" t="s">
        <v>15</v>
      </c>
      <c r="D1258" t="s">
        <v>27</v>
      </c>
      <c r="E1258">
        <v>18</v>
      </c>
      <c r="F1258">
        <v>40</v>
      </c>
      <c r="G1258">
        <v>720</v>
      </c>
      <c r="H1258">
        <v>0.06</v>
      </c>
      <c r="I1258">
        <v>43.2</v>
      </c>
      <c r="J1258" t="s">
        <v>22</v>
      </c>
    </row>
    <row r="1259" spans="1:10" x14ac:dyDescent="0.3">
      <c r="A1259" t="s">
        <v>1289</v>
      </c>
      <c r="B1259" s="1">
        <v>43309</v>
      </c>
      <c r="C1259" t="s">
        <v>34</v>
      </c>
      <c r="D1259" t="s">
        <v>24</v>
      </c>
      <c r="E1259">
        <v>18</v>
      </c>
      <c r="F1259">
        <v>150</v>
      </c>
      <c r="G1259">
        <v>2700</v>
      </c>
      <c r="H1259">
        <v>0.06</v>
      </c>
      <c r="I1259">
        <v>162</v>
      </c>
      <c r="J1259" t="s">
        <v>25</v>
      </c>
    </row>
    <row r="1260" spans="1:10" x14ac:dyDescent="0.3">
      <c r="A1260" t="s">
        <v>1290</v>
      </c>
      <c r="B1260" s="1">
        <v>43309</v>
      </c>
      <c r="C1260" t="s">
        <v>15</v>
      </c>
      <c r="D1260" t="s">
        <v>16</v>
      </c>
      <c r="E1260">
        <v>12</v>
      </c>
      <c r="F1260">
        <v>40</v>
      </c>
      <c r="G1260">
        <v>480</v>
      </c>
      <c r="H1260">
        <v>0.1</v>
      </c>
      <c r="I1260">
        <v>48</v>
      </c>
      <c r="J1260" t="s">
        <v>28</v>
      </c>
    </row>
    <row r="1261" spans="1:10" x14ac:dyDescent="0.3">
      <c r="A1261" t="s">
        <v>1291</v>
      </c>
      <c r="B1261" s="1">
        <v>43309</v>
      </c>
      <c r="C1261" t="s">
        <v>11</v>
      </c>
      <c r="D1261" t="s">
        <v>12</v>
      </c>
      <c r="E1261">
        <v>21</v>
      </c>
      <c r="F1261">
        <v>80</v>
      </c>
      <c r="G1261">
        <v>1680</v>
      </c>
      <c r="H1261">
        <v>0.04</v>
      </c>
      <c r="I1261">
        <v>67.2</v>
      </c>
      <c r="J1261" t="s">
        <v>32</v>
      </c>
    </row>
    <row r="1262" spans="1:10" x14ac:dyDescent="0.3">
      <c r="A1262" t="s">
        <v>1292</v>
      </c>
      <c r="B1262" s="1">
        <v>43309</v>
      </c>
      <c r="C1262" t="s">
        <v>15</v>
      </c>
      <c r="D1262" t="s">
        <v>31</v>
      </c>
      <c r="E1262">
        <v>3</v>
      </c>
      <c r="F1262">
        <v>40</v>
      </c>
      <c r="G1262">
        <v>120</v>
      </c>
      <c r="H1262">
        <v>0.03</v>
      </c>
      <c r="I1262">
        <v>3.6</v>
      </c>
      <c r="J1262" t="s">
        <v>35</v>
      </c>
    </row>
    <row r="1263" spans="1:10" x14ac:dyDescent="0.3">
      <c r="A1263" t="s">
        <v>1293</v>
      </c>
      <c r="B1263" s="1">
        <v>43309</v>
      </c>
      <c r="C1263" t="s">
        <v>11</v>
      </c>
      <c r="D1263" t="s">
        <v>31</v>
      </c>
      <c r="E1263">
        <v>22</v>
      </c>
      <c r="F1263">
        <v>80</v>
      </c>
      <c r="G1263">
        <v>1760</v>
      </c>
      <c r="H1263">
        <v>0.1</v>
      </c>
      <c r="I1263">
        <v>176</v>
      </c>
      <c r="J1263" t="s">
        <v>37</v>
      </c>
    </row>
    <row r="1264" spans="1:10" x14ac:dyDescent="0.3">
      <c r="A1264" t="s">
        <v>1294</v>
      </c>
      <c r="B1264" s="1">
        <v>43309</v>
      </c>
      <c r="C1264" t="s">
        <v>15</v>
      </c>
      <c r="D1264" t="s">
        <v>31</v>
      </c>
      <c r="E1264">
        <v>16</v>
      </c>
      <c r="F1264">
        <v>40</v>
      </c>
      <c r="G1264">
        <v>640</v>
      </c>
      <c r="H1264">
        <v>0.11</v>
      </c>
      <c r="I1264">
        <v>70.400000000000006</v>
      </c>
      <c r="J1264" t="s">
        <v>39</v>
      </c>
    </row>
    <row r="1265" spans="1:10" x14ac:dyDescent="0.3">
      <c r="A1265" t="s">
        <v>1295</v>
      </c>
      <c r="B1265" s="1">
        <v>43309</v>
      </c>
      <c r="C1265" t="s">
        <v>30</v>
      </c>
      <c r="D1265" t="s">
        <v>12</v>
      </c>
      <c r="E1265">
        <v>11</v>
      </c>
      <c r="F1265">
        <v>16</v>
      </c>
      <c r="G1265">
        <v>176</v>
      </c>
      <c r="H1265">
        <v>0.09</v>
      </c>
      <c r="I1265">
        <v>15.84</v>
      </c>
      <c r="J1265" t="s">
        <v>41</v>
      </c>
    </row>
    <row r="1266" spans="1:10" x14ac:dyDescent="0.3">
      <c r="A1266" t="s">
        <v>1296</v>
      </c>
      <c r="B1266" s="1">
        <v>43310</v>
      </c>
      <c r="C1266" t="s">
        <v>11</v>
      </c>
      <c r="D1266" t="s">
        <v>24</v>
      </c>
      <c r="E1266">
        <v>10</v>
      </c>
      <c r="F1266">
        <v>80</v>
      </c>
      <c r="G1266">
        <v>800</v>
      </c>
      <c r="H1266">
        <v>0.08</v>
      </c>
      <c r="I1266">
        <v>64</v>
      </c>
      <c r="J1266" t="s">
        <v>43</v>
      </c>
    </row>
    <row r="1267" spans="1:10" x14ac:dyDescent="0.3">
      <c r="A1267" t="s">
        <v>1297</v>
      </c>
      <c r="B1267" s="1">
        <v>43310</v>
      </c>
      <c r="C1267" t="s">
        <v>30</v>
      </c>
      <c r="D1267" t="s">
        <v>24</v>
      </c>
      <c r="E1267">
        <v>12</v>
      </c>
      <c r="F1267">
        <v>16</v>
      </c>
      <c r="G1267">
        <v>192</v>
      </c>
      <c r="H1267">
        <v>0.03</v>
      </c>
      <c r="I1267">
        <v>5.76</v>
      </c>
      <c r="J1267" t="s">
        <v>13</v>
      </c>
    </row>
    <row r="1268" spans="1:10" x14ac:dyDescent="0.3">
      <c r="A1268" t="s">
        <v>1298</v>
      </c>
      <c r="B1268" s="1">
        <v>43310</v>
      </c>
      <c r="C1268" t="s">
        <v>34</v>
      </c>
      <c r="D1268" t="s">
        <v>12</v>
      </c>
      <c r="E1268">
        <v>8</v>
      </c>
      <c r="F1268">
        <v>150</v>
      </c>
      <c r="G1268">
        <v>1200</v>
      </c>
      <c r="H1268">
        <v>0.09</v>
      </c>
      <c r="I1268">
        <v>108</v>
      </c>
      <c r="J1268" t="s">
        <v>17</v>
      </c>
    </row>
    <row r="1269" spans="1:10" x14ac:dyDescent="0.3">
      <c r="A1269" t="s">
        <v>1299</v>
      </c>
      <c r="B1269" s="1">
        <v>43310</v>
      </c>
      <c r="C1269" t="s">
        <v>15</v>
      </c>
      <c r="D1269" t="s">
        <v>31</v>
      </c>
      <c r="E1269">
        <v>10</v>
      </c>
      <c r="F1269">
        <v>40</v>
      </c>
      <c r="G1269">
        <v>400</v>
      </c>
      <c r="H1269">
        <v>0.03</v>
      </c>
      <c r="I1269">
        <v>12</v>
      </c>
      <c r="J1269" t="s">
        <v>20</v>
      </c>
    </row>
    <row r="1270" spans="1:10" x14ac:dyDescent="0.3">
      <c r="A1270" t="s">
        <v>1300</v>
      </c>
      <c r="B1270" s="1">
        <v>43310</v>
      </c>
      <c r="C1270" t="s">
        <v>34</v>
      </c>
      <c r="D1270" t="s">
        <v>12</v>
      </c>
      <c r="E1270">
        <v>7</v>
      </c>
      <c r="F1270">
        <v>150</v>
      </c>
      <c r="G1270">
        <v>1050</v>
      </c>
      <c r="H1270">
        <v>0.02</v>
      </c>
      <c r="I1270">
        <v>21</v>
      </c>
      <c r="J1270" t="s">
        <v>22</v>
      </c>
    </row>
    <row r="1271" spans="1:10" x14ac:dyDescent="0.3">
      <c r="A1271" t="s">
        <v>1301</v>
      </c>
      <c r="B1271" s="1">
        <v>43310</v>
      </c>
      <c r="C1271" t="s">
        <v>30</v>
      </c>
      <c r="D1271" t="s">
        <v>24</v>
      </c>
      <c r="E1271">
        <v>6</v>
      </c>
      <c r="F1271">
        <v>16</v>
      </c>
      <c r="G1271">
        <v>96</v>
      </c>
      <c r="H1271">
        <v>0.01</v>
      </c>
      <c r="I1271">
        <v>0.96</v>
      </c>
      <c r="J1271" t="s">
        <v>25</v>
      </c>
    </row>
    <row r="1272" spans="1:10" x14ac:dyDescent="0.3">
      <c r="A1272" t="s">
        <v>1302</v>
      </c>
      <c r="B1272" s="1">
        <v>43310</v>
      </c>
      <c r="C1272" t="s">
        <v>11</v>
      </c>
      <c r="D1272" t="s">
        <v>27</v>
      </c>
      <c r="E1272">
        <v>15</v>
      </c>
      <c r="F1272">
        <v>80</v>
      </c>
      <c r="G1272">
        <v>1200</v>
      </c>
      <c r="H1272">
        <v>0.08</v>
      </c>
      <c r="I1272">
        <v>96</v>
      </c>
      <c r="J1272" t="s">
        <v>28</v>
      </c>
    </row>
    <row r="1273" spans="1:10" x14ac:dyDescent="0.3">
      <c r="A1273" t="s">
        <v>1303</v>
      </c>
      <c r="B1273" s="1">
        <v>43310</v>
      </c>
      <c r="C1273" t="s">
        <v>30</v>
      </c>
      <c r="D1273" t="s">
        <v>31</v>
      </c>
      <c r="E1273">
        <v>13</v>
      </c>
      <c r="F1273">
        <v>16</v>
      </c>
      <c r="G1273">
        <v>208</v>
      </c>
      <c r="H1273">
        <v>7.0000000000000007E-2</v>
      </c>
      <c r="I1273">
        <v>14.56</v>
      </c>
      <c r="J1273" t="s">
        <v>17</v>
      </c>
    </row>
    <row r="1274" spans="1:10" x14ac:dyDescent="0.3">
      <c r="A1274" t="s">
        <v>1304</v>
      </c>
      <c r="B1274" s="1">
        <v>43310</v>
      </c>
      <c r="C1274" t="s">
        <v>19</v>
      </c>
      <c r="D1274" t="s">
        <v>27</v>
      </c>
      <c r="E1274">
        <v>19</v>
      </c>
      <c r="F1274">
        <v>230</v>
      </c>
      <c r="G1274">
        <v>4370</v>
      </c>
      <c r="H1274">
        <v>0.06</v>
      </c>
      <c r="I1274">
        <v>262.2</v>
      </c>
      <c r="J1274" t="s">
        <v>20</v>
      </c>
    </row>
    <row r="1275" spans="1:10" x14ac:dyDescent="0.3">
      <c r="A1275" t="s">
        <v>1305</v>
      </c>
      <c r="B1275" s="1">
        <v>43310</v>
      </c>
      <c r="C1275" t="s">
        <v>11</v>
      </c>
      <c r="D1275" t="s">
        <v>27</v>
      </c>
      <c r="E1275">
        <v>21</v>
      </c>
      <c r="F1275">
        <v>80</v>
      </c>
      <c r="G1275">
        <v>1680</v>
      </c>
      <c r="H1275">
        <v>0.05</v>
      </c>
      <c r="I1275">
        <v>84</v>
      </c>
      <c r="J1275" t="s">
        <v>22</v>
      </c>
    </row>
    <row r="1276" spans="1:10" x14ac:dyDescent="0.3">
      <c r="A1276" t="s">
        <v>1306</v>
      </c>
      <c r="B1276" s="1">
        <v>43310</v>
      </c>
      <c r="C1276" t="s">
        <v>11</v>
      </c>
      <c r="D1276" t="s">
        <v>16</v>
      </c>
      <c r="E1276">
        <v>5</v>
      </c>
      <c r="F1276">
        <v>80</v>
      </c>
      <c r="G1276">
        <v>400</v>
      </c>
      <c r="H1276">
        <v>7.0000000000000007E-2</v>
      </c>
      <c r="I1276">
        <v>28</v>
      </c>
      <c r="J1276" t="s">
        <v>25</v>
      </c>
    </row>
    <row r="1277" spans="1:10" x14ac:dyDescent="0.3">
      <c r="A1277" t="s">
        <v>1307</v>
      </c>
      <c r="B1277" s="1">
        <v>43310</v>
      </c>
      <c r="C1277" t="s">
        <v>30</v>
      </c>
      <c r="D1277" t="s">
        <v>24</v>
      </c>
      <c r="E1277">
        <v>8</v>
      </c>
      <c r="F1277">
        <v>16</v>
      </c>
      <c r="G1277">
        <v>128</v>
      </c>
      <c r="H1277">
        <v>0.03</v>
      </c>
      <c r="I1277">
        <v>3.84</v>
      </c>
      <c r="J1277" t="s">
        <v>28</v>
      </c>
    </row>
    <row r="1278" spans="1:10" x14ac:dyDescent="0.3">
      <c r="A1278" t="s">
        <v>1308</v>
      </c>
      <c r="B1278" s="1">
        <v>43310</v>
      </c>
      <c r="C1278" t="s">
        <v>30</v>
      </c>
      <c r="D1278" t="s">
        <v>24</v>
      </c>
      <c r="E1278">
        <v>12</v>
      </c>
      <c r="F1278">
        <v>16</v>
      </c>
      <c r="G1278">
        <v>192</v>
      </c>
      <c r="H1278">
        <v>0.11</v>
      </c>
      <c r="I1278">
        <v>21.12</v>
      </c>
      <c r="J1278" t="s">
        <v>32</v>
      </c>
    </row>
    <row r="1279" spans="1:10" x14ac:dyDescent="0.3">
      <c r="A1279" t="s">
        <v>1309</v>
      </c>
      <c r="B1279" s="1">
        <v>43310</v>
      </c>
      <c r="C1279" t="s">
        <v>11</v>
      </c>
      <c r="D1279" t="s">
        <v>27</v>
      </c>
      <c r="E1279">
        <v>22</v>
      </c>
      <c r="F1279">
        <v>80</v>
      </c>
      <c r="G1279">
        <v>1760</v>
      </c>
      <c r="H1279">
        <v>0.03</v>
      </c>
      <c r="I1279">
        <v>52.8</v>
      </c>
      <c r="J1279" t="s">
        <v>35</v>
      </c>
    </row>
    <row r="1280" spans="1:10" x14ac:dyDescent="0.3">
      <c r="A1280" t="s">
        <v>1310</v>
      </c>
      <c r="B1280" s="1">
        <v>43310</v>
      </c>
      <c r="C1280" t="s">
        <v>15</v>
      </c>
      <c r="D1280" t="s">
        <v>12</v>
      </c>
      <c r="E1280">
        <v>5</v>
      </c>
      <c r="F1280">
        <v>40</v>
      </c>
      <c r="G1280">
        <v>200</v>
      </c>
      <c r="H1280">
        <v>0.09</v>
      </c>
      <c r="I1280">
        <v>18</v>
      </c>
      <c r="J1280" t="s">
        <v>37</v>
      </c>
    </row>
    <row r="1281" spans="1:10" x14ac:dyDescent="0.3">
      <c r="A1281" t="s">
        <v>1311</v>
      </c>
      <c r="B1281" s="1">
        <v>43311</v>
      </c>
      <c r="C1281" t="s">
        <v>34</v>
      </c>
      <c r="D1281" t="s">
        <v>16</v>
      </c>
      <c r="E1281">
        <v>23</v>
      </c>
      <c r="F1281">
        <v>150</v>
      </c>
      <c r="G1281">
        <v>3450</v>
      </c>
      <c r="H1281">
        <v>0.11</v>
      </c>
      <c r="I1281">
        <v>379.5</v>
      </c>
      <c r="J1281" t="s">
        <v>39</v>
      </c>
    </row>
    <row r="1282" spans="1:10" x14ac:dyDescent="0.3">
      <c r="A1282" t="s">
        <v>1312</v>
      </c>
      <c r="B1282" s="1">
        <v>43311</v>
      </c>
      <c r="C1282" t="s">
        <v>11</v>
      </c>
      <c r="D1282" t="s">
        <v>12</v>
      </c>
      <c r="E1282">
        <v>16</v>
      </c>
      <c r="F1282">
        <v>80</v>
      </c>
      <c r="G1282">
        <v>1280</v>
      </c>
      <c r="H1282">
        <v>0.03</v>
      </c>
      <c r="I1282">
        <v>38.4</v>
      </c>
      <c r="J1282" t="s">
        <v>41</v>
      </c>
    </row>
    <row r="1283" spans="1:10" x14ac:dyDescent="0.3">
      <c r="A1283" t="s">
        <v>1313</v>
      </c>
      <c r="B1283" s="1">
        <v>43311</v>
      </c>
      <c r="C1283" t="s">
        <v>34</v>
      </c>
      <c r="D1283" t="s">
        <v>31</v>
      </c>
      <c r="E1283">
        <v>15</v>
      </c>
      <c r="F1283">
        <v>150</v>
      </c>
      <c r="G1283">
        <v>2250</v>
      </c>
      <c r="H1283">
        <v>7.0000000000000007E-2</v>
      </c>
      <c r="I1283">
        <v>157.5</v>
      </c>
      <c r="J1283" t="s">
        <v>43</v>
      </c>
    </row>
    <row r="1284" spans="1:10" x14ac:dyDescent="0.3">
      <c r="A1284" t="s">
        <v>1314</v>
      </c>
      <c r="B1284" s="1">
        <v>43311</v>
      </c>
      <c r="C1284" t="s">
        <v>15</v>
      </c>
      <c r="D1284" t="s">
        <v>12</v>
      </c>
      <c r="E1284">
        <v>20</v>
      </c>
      <c r="F1284">
        <v>40</v>
      </c>
      <c r="G1284">
        <v>800</v>
      </c>
      <c r="H1284">
        <v>0.04</v>
      </c>
      <c r="I1284">
        <v>32</v>
      </c>
      <c r="J1284" t="s">
        <v>13</v>
      </c>
    </row>
    <row r="1285" spans="1:10" x14ac:dyDescent="0.3">
      <c r="A1285" t="s">
        <v>1315</v>
      </c>
      <c r="B1285" s="1">
        <v>43311</v>
      </c>
      <c r="C1285" t="s">
        <v>19</v>
      </c>
      <c r="D1285" t="s">
        <v>24</v>
      </c>
      <c r="E1285">
        <v>10</v>
      </c>
      <c r="F1285">
        <v>230</v>
      </c>
      <c r="G1285">
        <v>2300</v>
      </c>
      <c r="H1285">
        <v>0.02</v>
      </c>
      <c r="I1285">
        <v>46</v>
      </c>
      <c r="J1285" t="s">
        <v>17</v>
      </c>
    </row>
    <row r="1286" spans="1:10" x14ac:dyDescent="0.3">
      <c r="A1286" t="s">
        <v>1316</v>
      </c>
      <c r="B1286" s="1">
        <v>43311</v>
      </c>
      <c r="C1286" t="s">
        <v>11</v>
      </c>
      <c r="D1286" t="s">
        <v>16</v>
      </c>
      <c r="E1286">
        <v>9</v>
      </c>
      <c r="F1286">
        <v>80</v>
      </c>
      <c r="G1286">
        <v>720</v>
      </c>
      <c r="H1286">
        <v>0.03</v>
      </c>
      <c r="I1286">
        <v>21.6</v>
      </c>
      <c r="J1286" t="s">
        <v>20</v>
      </c>
    </row>
    <row r="1287" spans="1:10" x14ac:dyDescent="0.3">
      <c r="A1287" t="s">
        <v>1317</v>
      </c>
      <c r="B1287" s="1">
        <v>43311</v>
      </c>
      <c r="C1287" t="s">
        <v>19</v>
      </c>
      <c r="D1287" t="s">
        <v>12</v>
      </c>
      <c r="E1287">
        <v>16</v>
      </c>
      <c r="F1287">
        <v>230</v>
      </c>
      <c r="G1287">
        <v>3680</v>
      </c>
      <c r="H1287">
        <v>7.0000000000000007E-2</v>
      </c>
      <c r="I1287">
        <v>257.60000000000002</v>
      </c>
      <c r="J1287" t="s">
        <v>22</v>
      </c>
    </row>
    <row r="1288" spans="1:10" x14ac:dyDescent="0.3">
      <c r="A1288" t="s">
        <v>1318</v>
      </c>
      <c r="B1288" s="1">
        <v>43311</v>
      </c>
      <c r="C1288" t="s">
        <v>11</v>
      </c>
      <c r="D1288" t="s">
        <v>16</v>
      </c>
      <c r="E1288">
        <v>21</v>
      </c>
      <c r="F1288">
        <v>80</v>
      </c>
      <c r="G1288">
        <v>1680</v>
      </c>
      <c r="H1288">
        <v>0.04</v>
      </c>
      <c r="I1288">
        <v>67.2</v>
      </c>
      <c r="J1288" t="s">
        <v>25</v>
      </c>
    </row>
    <row r="1289" spans="1:10" x14ac:dyDescent="0.3">
      <c r="A1289" t="s">
        <v>1319</v>
      </c>
      <c r="B1289" s="1">
        <v>43311</v>
      </c>
      <c r="C1289" t="s">
        <v>11</v>
      </c>
      <c r="D1289" t="s">
        <v>16</v>
      </c>
      <c r="E1289">
        <v>9</v>
      </c>
      <c r="F1289">
        <v>80</v>
      </c>
      <c r="G1289">
        <v>720</v>
      </c>
      <c r="H1289">
        <v>0.03</v>
      </c>
      <c r="I1289">
        <v>21.6</v>
      </c>
      <c r="J1289" t="s">
        <v>28</v>
      </c>
    </row>
    <row r="1290" spans="1:10" x14ac:dyDescent="0.3">
      <c r="A1290" t="s">
        <v>1320</v>
      </c>
      <c r="B1290" s="1">
        <v>43311</v>
      </c>
      <c r="C1290" t="s">
        <v>15</v>
      </c>
      <c r="D1290" t="s">
        <v>16</v>
      </c>
      <c r="E1290">
        <v>4</v>
      </c>
      <c r="F1290">
        <v>40</v>
      </c>
      <c r="G1290">
        <v>160</v>
      </c>
      <c r="H1290">
        <v>0.12</v>
      </c>
      <c r="I1290">
        <v>19.2</v>
      </c>
      <c r="J1290" t="s">
        <v>17</v>
      </c>
    </row>
    <row r="1291" spans="1:10" x14ac:dyDescent="0.3">
      <c r="A1291" t="s">
        <v>1321</v>
      </c>
      <c r="B1291" s="1">
        <v>43311</v>
      </c>
      <c r="C1291" t="s">
        <v>19</v>
      </c>
      <c r="D1291" t="s">
        <v>24</v>
      </c>
      <c r="E1291">
        <v>5</v>
      </c>
      <c r="F1291">
        <v>230</v>
      </c>
      <c r="G1291">
        <v>1150</v>
      </c>
      <c r="H1291">
        <v>0.01</v>
      </c>
      <c r="I1291">
        <v>11.5</v>
      </c>
      <c r="J1291" t="s">
        <v>20</v>
      </c>
    </row>
    <row r="1292" spans="1:10" x14ac:dyDescent="0.3">
      <c r="A1292" t="s">
        <v>1322</v>
      </c>
      <c r="B1292" s="1">
        <v>43311</v>
      </c>
      <c r="C1292" t="s">
        <v>30</v>
      </c>
      <c r="D1292" t="s">
        <v>12</v>
      </c>
      <c r="E1292">
        <v>18</v>
      </c>
      <c r="F1292">
        <v>16</v>
      </c>
      <c r="G1292">
        <v>288</v>
      </c>
      <c r="H1292">
        <v>0.05</v>
      </c>
      <c r="I1292">
        <v>14.4</v>
      </c>
      <c r="J1292" t="s">
        <v>22</v>
      </c>
    </row>
    <row r="1293" spans="1:10" x14ac:dyDescent="0.3">
      <c r="A1293" t="s">
        <v>1323</v>
      </c>
      <c r="B1293" s="1">
        <v>43312</v>
      </c>
      <c r="C1293" t="s">
        <v>11</v>
      </c>
      <c r="D1293" t="s">
        <v>24</v>
      </c>
      <c r="E1293">
        <v>6</v>
      </c>
      <c r="F1293">
        <v>80</v>
      </c>
      <c r="G1293">
        <v>480</v>
      </c>
      <c r="H1293">
        <v>0.01</v>
      </c>
      <c r="I1293">
        <v>4.8</v>
      </c>
      <c r="J1293" t="s">
        <v>25</v>
      </c>
    </row>
    <row r="1294" spans="1:10" x14ac:dyDescent="0.3">
      <c r="A1294" t="s">
        <v>1324</v>
      </c>
      <c r="B1294" s="1">
        <v>43312</v>
      </c>
      <c r="C1294" t="s">
        <v>34</v>
      </c>
      <c r="D1294" t="s">
        <v>31</v>
      </c>
      <c r="E1294">
        <v>4</v>
      </c>
      <c r="F1294">
        <v>150</v>
      </c>
      <c r="G1294">
        <v>600</v>
      </c>
      <c r="H1294">
        <v>0.05</v>
      </c>
      <c r="I1294">
        <v>30</v>
      </c>
      <c r="J1294" t="s">
        <v>28</v>
      </c>
    </row>
    <row r="1295" spans="1:10" x14ac:dyDescent="0.3">
      <c r="A1295" t="s">
        <v>1325</v>
      </c>
      <c r="B1295" s="1">
        <v>43312</v>
      </c>
      <c r="C1295" t="s">
        <v>19</v>
      </c>
      <c r="D1295" t="s">
        <v>31</v>
      </c>
      <c r="E1295">
        <v>21</v>
      </c>
      <c r="F1295">
        <v>230</v>
      </c>
      <c r="G1295">
        <v>4830</v>
      </c>
      <c r="H1295">
        <v>0.05</v>
      </c>
      <c r="I1295">
        <v>241.5</v>
      </c>
      <c r="J1295" t="s">
        <v>32</v>
      </c>
    </row>
    <row r="1296" spans="1:10" x14ac:dyDescent="0.3">
      <c r="A1296" t="s">
        <v>1326</v>
      </c>
      <c r="B1296" s="1">
        <v>43312</v>
      </c>
      <c r="C1296" t="s">
        <v>34</v>
      </c>
      <c r="D1296" t="s">
        <v>12</v>
      </c>
      <c r="E1296">
        <v>4</v>
      </c>
      <c r="F1296">
        <v>150</v>
      </c>
      <c r="G1296">
        <v>600</v>
      </c>
      <c r="H1296">
        <v>0.06</v>
      </c>
      <c r="I1296">
        <v>36</v>
      </c>
      <c r="J1296" t="s">
        <v>35</v>
      </c>
    </row>
    <row r="1297" spans="1:10" x14ac:dyDescent="0.3">
      <c r="A1297" t="s">
        <v>1327</v>
      </c>
      <c r="B1297" s="1">
        <v>43312</v>
      </c>
      <c r="C1297" t="s">
        <v>11</v>
      </c>
      <c r="D1297" t="s">
        <v>16</v>
      </c>
      <c r="E1297">
        <v>2</v>
      </c>
      <c r="F1297">
        <v>80</v>
      </c>
      <c r="G1297">
        <v>160</v>
      </c>
      <c r="H1297">
        <v>0.04</v>
      </c>
      <c r="I1297">
        <v>6.4</v>
      </c>
      <c r="J1297" t="s">
        <v>37</v>
      </c>
    </row>
    <row r="1298" spans="1:10" x14ac:dyDescent="0.3">
      <c r="A1298" t="s">
        <v>1328</v>
      </c>
      <c r="B1298" s="1">
        <v>43312</v>
      </c>
      <c r="C1298" t="s">
        <v>30</v>
      </c>
      <c r="D1298" t="s">
        <v>16</v>
      </c>
      <c r="E1298">
        <v>5</v>
      </c>
      <c r="F1298">
        <v>16</v>
      </c>
      <c r="G1298">
        <v>80</v>
      </c>
      <c r="H1298">
        <v>0.11</v>
      </c>
      <c r="I1298">
        <v>8.8000000000000007</v>
      </c>
      <c r="J1298" t="s">
        <v>39</v>
      </c>
    </row>
    <row r="1299" spans="1:10" x14ac:dyDescent="0.3">
      <c r="A1299" t="s">
        <v>1329</v>
      </c>
      <c r="B1299" s="1">
        <v>43312</v>
      </c>
      <c r="C1299" t="s">
        <v>34</v>
      </c>
      <c r="D1299" t="s">
        <v>31</v>
      </c>
      <c r="E1299">
        <v>23</v>
      </c>
      <c r="F1299">
        <v>150</v>
      </c>
      <c r="G1299">
        <v>3450</v>
      </c>
      <c r="H1299">
        <v>0.08</v>
      </c>
      <c r="I1299">
        <v>276</v>
      </c>
      <c r="J1299" t="s">
        <v>41</v>
      </c>
    </row>
    <row r="1300" spans="1:10" x14ac:dyDescent="0.3">
      <c r="A1300" t="s">
        <v>1330</v>
      </c>
      <c r="B1300" s="1">
        <v>43312</v>
      </c>
      <c r="C1300" t="s">
        <v>11</v>
      </c>
      <c r="D1300" t="s">
        <v>16</v>
      </c>
      <c r="E1300">
        <v>3</v>
      </c>
      <c r="F1300">
        <v>80</v>
      </c>
      <c r="G1300">
        <v>240</v>
      </c>
      <c r="H1300">
        <v>0.02</v>
      </c>
      <c r="I1300">
        <v>4.8</v>
      </c>
      <c r="J1300" t="s">
        <v>43</v>
      </c>
    </row>
    <row r="1301" spans="1:10" x14ac:dyDescent="0.3">
      <c r="A1301" t="s">
        <v>1331</v>
      </c>
      <c r="B1301" s="1">
        <v>43312</v>
      </c>
      <c r="C1301" t="s">
        <v>19</v>
      </c>
      <c r="D1301" t="s">
        <v>31</v>
      </c>
      <c r="E1301">
        <v>17</v>
      </c>
      <c r="F1301">
        <v>230</v>
      </c>
      <c r="G1301">
        <v>3910</v>
      </c>
      <c r="H1301">
        <v>0.11</v>
      </c>
      <c r="I1301">
        <v>430.1</v>
      </c>
      <c r="J1301" t="s">
        <v>13</v>
      </c>
    </row>
    <row r="1302" spans="1:10" x14ac:dyDescent="0.3">
      <c r="A1302" t="s">
        <v>1332</v>
      </c>
      <c r="B1302" s="1">
        <v>43312</v>
      </c>
      <c r="C1302" t="s">
        <v>15</v>
      </c>
      <c r="D1302" t="s">
        <v>24</v>
      </c>
      <c r="E1302">
        <v>11</v>
      </c>
      <c r="F1302">
        <v>40</v>
      </c>
      <c r="G1302">
        <v>440</v>
      </c>
      <c r="H1302">
        <v>0.05</v>
      </c>
      <c r="I1302">
        <v>22</v>
      </c>
      <c r="J1302" t="s">
        <v>17</v>
      </c>
    </row>
    <row r="1303" spans="1:10" x14ac:dyDescent="0.3">
      <c r="A1303" t="s">
        <v>1333</v>
      </c>
      <c r="B1303" s="1">
        <v>43312</v>
      </c>
      <c r="C1303" t="s">
        <v>19</v>
      </c>
      <c r="D1303" t="s">
        <v>12</v>
      </c>
      <c r="E1303">
        <v>7</v>
      </c>
      <c r="F1303">
        <v>230</v>
      </c>
      <c r="G1303">
        <v>1610</v>
      </c>
      <c r="H1303">
        <v>0.02</v>
      </c>
      <c r="I1303">
        <v>32.200000000000003</v>
      </c>
      <c r="J1303" t="s">
        <v>20</v>
      </c>
    </row>
    <row r="1304" spans="1:10" x14ac:dyDescent="0.3">
      <c r="A1304" t="s">
        <v>1334</v>
      </c>
      <c r="B1304" s="1">
        <v>43312</v>
      </c>
      <c r="C1304" t="s">
        <v>15</v>
      </c>
      <c r="D1304" t="s">
        <v>24</v>
      </c>
      <c r="E1304">
        <v>13</v>
      </c>
      <c r="F1304">
        <v>40</v>
      </c>
      <c r="G1304">
        <v>520</v>
      </c>
      <c r="H1304">
        <v>0.02</v>
      </c>
      <c r="I1304">
        <v>10.4</v>
      </c>
      <c r="J1304"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646E0-2F7A-4429-9BB0-96D7D3AF27C8}">
  <dimension ref="B1:C17"/>
  <sheetViews>
    <sheetView workbookViewId="0">
      <selection activeCell="C17" sqref="C17"/>
    </sheetView>
  </sheetViews>
  <sheetFormatPr defaultRowHeight="14.4" x14ac:dyDescent="0.3"/>
  <cols>
    <col min="2" max="2" width="25.6640625" customWidth="1"/>
    <col min="3" max="3" width="20.88671875" customWidth="1"/>
  </cols>
  <sheetData>
    <row r="1" spans="2:3" x14ac:dyDescent="0.3">
      <c r="B1" s="2"/>
    </row>
    <row r="2" spans="2:3" x14ac:dyDescent="0.3">
      <c r="B2" s="4" t="s">
        <v>1335</v>
      </c>
    </row>
    <row r="3" spans="2:3" x14ac:dyDescent="0.3">
      <c r="B3" s="4" t="s">
        <v>1336</v>
      </c>
    </row>
    <row r="4" spans="2:3" x14ac:dyDescent="0.3">
      <c r="B4" t="s">
        <v>1337</v>
      </c>
    </row>
    <row r="5" spans="2:3" x14ac:dyDescent="0.3">
      <c r="C5" t="s">
        <v>1345</v>
      </c>
    </row>
    <row r="6" spans="2:3" x14ac:dyDescent="0.3">
      <c r="C6" s="3">
        <v>1230</v>
      </c>
    </row>
    <row r="8" spans="2:3" x14ac:dyDescent="0.3">
      <c r="B8" t="s">
        <v>1338</v>
      </c>
    </row>
    <row r="9" spans="2:3" x14ac:dyDescent="0.3">
      <c r="C9" t="s">
        <v>1346</v>
      </c>
    </row>
    <row r="10" spans="2:3" x14ac:dyDescent="0.3">
      <c r="C10" s="3">
        <v>1506602</v>
      </c>
    </row>
    <row r="12" spans="2:3" x14ac:dyDescent="0.3">
      <c r="B12" t="s">
        <v>1339</v>
      </c>
    </row>
    <row r="13" spans="2:3" x14ac:dyDescent="0.3">
      <c r="C13" t="s">
        <v>1347</v>
      </c>
    </row>
    <row r="14" spans="2:3" x14ac:dyDescent="0.3">
      <c r="C14" s="3">
        <v>94842.419999999896</v>
      </c>
    </row>
    <row r="16" spans="2:3" x14ac:dyDescent="0.3">
      <c r="B16" t="s">
        <v>1340</v>
      </c>
    </row>
    <row r="17" spans="3:3" x14ac:dyDescent="0.3">
      <c r="C17">
        <f>GETPIVOTDATA("Total price",$C$9)-GETPIVOTDATA("Total Commission",$C$13)</f>
        <v>1411759.58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4BDC4-2142-4111-B674-6FEA5D533DC5}">
  <dimension ref="B2:O107"/>
  <sheetViews>
    <sheetView topLeftCell="A91" workbookViewId="0">
      <selection activeCell="N95" sqref="N95"/>
    </sheetView>
  </sheetViews>
  <sheetFormatPr defaultRowHeight="14.4" x14ac:dyDescent="0.3"/>
  <cols>
    <col min="2" max="2" width="11.5546875" customWidth="1"/>
    <col min="3" max="3" width="14.5546875" customWidth="1"/>
  </cols>
  <sheetData>
    <row r="2" spans="2:3" x14ac:dyDescent="0.3">
      <c r="B2" s="4" t="s">
        <v>1351</v>
      </c>
      <c r="C2" s="4"/>
    </row>
    <row r="3" spans="2:3" x14ac:dyDescent="0.3">
      <c r="B3" s="5" t="s">
        <v>1348</v>
      </c>
      <c r="C3" t="s">
        <v>1345</v>
      </c>
    </row>
    <row r="4" spans="2:3" x14ac:dyDescent="0.3">
      <c r="B4" s="6">
        <v>43282</v>
      </c>
      <c r="C4" s="3">
        <v>39</v>
      </c>
    </row>
    <row r="5" spans="2:3" x14ac:dyDescent="0.3">
      <c r="B5" s="6">
        <v>43283</v>
      </c>
      <c r="C5" s="3">
        <v>33</v>
      </c>
    </row>
    <row r="6" spans="2:3" x14ac:dyDescent="0.3">
      <c r="B6" s="6">
        <v>43284</v>
      </c>
      <c r="C6" s="3">
        <v>36</v>
      </c>
    </row>
    <row r="7" spans="2:3" x14ac:dyDescent="0.3">
      <c r="B7" s="6">
        <v>43286</v>
      </c>
      <c r="C7" s="3">
        <v>42</v>
      </c>
    </row>
    <row r="8" spans="2:3" x14ac:dyDescent="0.3">
      <c r="B8" s="6">
        <v>43287</v>
      </c>
      <c r="C8" s="3">
        <v>47</v>
      </c>
    </row>
    <row r="9" spans="2:3" x14ac:dyDescent="0.3">
      <c r="B9" s="6">
        <v>43288</v>
      </c>
      <c r="C9" s="3">
        <v>53</v>
      </c>
    </row>
    <row r="10" spans="2:3" x14ac:dyDescent="0.3">
      <c r="B10" s="6">
        <v>43289</v>
      </c>
      <c r="C10" s="3">
        <v>51</v>
      </c>
    </row>
    <row r="11" spans="2:3" x14ac:dyDescent="0.3">
      <c r="B11" s="6">
        <v>43291</v>
      </c>
      <c r="C11" s="3">
        <v>50</v>
      </c>
    </row>
    <row r="12" spans="2:3" x14ac:dyDescent="0.3">
      <c r="B12" s="6">
        <v>43292</v>
      </c>
      <c r="C12" s="3">
        <v>43</v>
      </c>
    </row>
    <row r="13" spans="2:3" x14ac:dyDescent="0.3">
      <c r="B13" s="6">
        <v>43293</v>
      </c>
      <c r="C13" s="3">
        <v>30</v>
      </c>
    </row>
    <row r="14" spans="2:3" x14ac:dyDescent="0.3">
      <c r="B14" s="6">
        <v>43294</v>
      </c>
      <c r="C14" s="3">
        <v>48</v>
      </c>
    </row>
    <row r="15" spans="2:3" x14ac:dyDescent="0.3">
      <c r="B15" s="6">
        <v>43295</v>
      </c>
      <c r="C15" s="3">
        <v>46</v>
      </c>
    </row>
    <row r="16" spans="2:3" x14ac:dyDescent="0.3">
      <c r="B16" s="6">
        <v>43296</v>
      </c>
      <c r="C16" s="3">
        <v>45</v>
      </c>
    </row>
    <row r="17" spans="2:3" x14ac:dyDescent="0.3">
      <c r="B17" s="6">
        <v>43297</v>
      </c>
      <c r="C17" s="3">
        <v>48</v>
      </c>
    </row>
    <row r="18" spans="2:3" x14ac:dyDescent="0.3">
      <c r="B18" s="6">
        <v>43298</v>
      </c>
      <c r="C18" s="3">
        <v>48</v>
      </c>
    </row>
    <row r="19" spans="2:3" x14ac:dyDescent="0.3">
      <c r="B19" s="6">
        <v>43299</v>
      </c>
      <c r="C19" s="3">
        <v>41</v>
      </c>
    </row>
    <row r="20" spans="2:3" x14ac:dyDescent="0.3">
      <c r="B20" s="6">
        <v>43300</v>
      </c>
      <c r="C20" s="3">
        <v>44</v>
      </c>
    </row>
    <row r="21" spans="2:3" x14ac:dyDescent="0.3">
      <c r="B21" s="6">
        <v>43301</v>
      </c>
      <c r="C21" s="3">
        <v>34</v>
      </c>
    </row>
    <row r="22" spans="2:3" x14ac:dyDescent="0.3">
      <c r="B22" s="6">
        <v>43302</v>
      </c>
      <c r="C22" s="3">
        <v>48</v>
      </c>
    </row>
    <row r="23" spans="2:3" x14ac:dyDescent="0.3">
      <c r="B23" s="6">
        <v>43303</v>
      </c>
      <c r="C23" s="3">
        <v>38</v>
      </c>
    </row>
    <row r="24" spans="2:3" x14ac:dyDescent="0.3">
      <c r="B24" s="6">
        <v>43304</v>
      </c>
      <c r="C24" s="3">
        <v>39</v>
      </c>
    </row>
    <row r="25" spans="2:3" x14ac:dyDescent="0.3">
      <c r="B25" s="6">
        <v>43305</v>
      </c>
      <c r="C25" s="3">
        <v>46</v>
      </c>
    </row>
    <row r="26" spans="2:3" x14ac:dyDescent="0.3">
      <c r="B26" s="6">
        <v>43306</v>
      </c>
      <c r="C26" s="3">
        <v>49</v>
      </c>
    </row>
    <row r="27" spans="2:3" x14ac:dyDescent="0.3">
      <c r="B27" s="6">
        <v>43307</v>
      </c>
      <c r="C27" s="3">
        <v>47</v>
      </c>
    </row>
    <row r="28" spans="2:3" x14ac:dyDescent="0.3">
      <c r="B28" s="6">
        <v>43308</v>
      </c>
      <c r="C28" s="3">
        <v>52</v>
      </c>
    </row>
    <row r="29" spans="2:3" x14ac:dyDescent="0.3">
      <c r="B29" s="6">
        <v>43309</v>
      </c>
      <c r="C29" s="3">
        <v>37</v>
      </c>
    </row>
    <row r="30" spans="2:3" x14ac:dyDescent="0.3">
      <c r="B30" s="6">
        <v>43310</v>
      </c>
      <c r="C30" s="3">
        <v>42</v>
      </c>
    </row>
    <row r="31" spans="2:3" x14ac:dyDescent="0.3">
      <c r="B31" s="6">
        <v>43311</v>
      </c>
      <c r="C31" s="3">
        <v>28</v>
      </c>
    </row>
    <row r="32" spans="2:3" x14ac:dyDescent="0.3">
      <c r="B32" s="6">
        <v>43312</v>
      </c>
      <c r="C32" s="3">
        <v>26</v>
      </c>
    </row>
    <row r="33" spans="2:4" x14ac:dyDescent="0.3">
      <c r="B33" s="6" t="s">
        <v>1349</v>
      </c>
      <c r="C33" s="3">
        <v>1230</v>
      </c>
    </row>
    <row r="38" spans="2:4" x14ac:dyDescent="0.3">
      <c r="B38" s="4" t="s">
        <v>1341</v>
      </c>
      <c r="C38" s="4"/>
      <c r="D38" s="4"/>
    </row>
    <row r="40" spans="2:4" x14ac:dyDescent="0.3">
      <c r="B40" s="5" t="s">
        <v>1348</v>
      </c>
      <c r="C40" t="s">
        <v>1350</v>
      </c>
    </row>
    <row r="41" spans="2:4" x14ac:dyDescent="0.3">
      <c r="B41" s="7" t="s">
        <v>30</v>
      </c>
      <c r="C41" s="3">
        <v>2857</v>
      </c>
    </row>
    <row r="42" spans="2:4" x14ac:dyDescent="0.3">
      <c r="B42" s="7" t="s">
        <v>19</v>
      </c>
      <c r="C42" s="3">
        <v>2504</v>
      </c>
    </row>
    <row r="43" spans="2:4" x14ac:dyDescent="0.3">
      <c r="B43" s="7" t="s">
        <v>11</v>
      </c>
      <c r="C43" s="3">
        <v>3593</v>
      </c>
    </row>
    <row r="44" spans="2:4" x14ac:dyDescent="0.3">
      <c r="B44" s="7" t="s">
        <v>34</v>
      </c>
      <c r="C44" s="3">
        <v>2963</v>
      </c>
    </row>
    <row r="45" spans="2:4" x14ac:dyDescent="0.3">
      <c r="B45" s="7" t="s">
        <v>15</v>
      </c>
      <c r="C45" s="3">
        <v>3827</v>
      </c>
    </row>
    <row r="46" spans="2:4" x14ac:dyDescent="0.3">
      <c r="B46" s="7" t="s">
        <v>1349</v>
      </c>
      <c r="C46" s="3">
        <v>15744</v>
      </c>
    </row>
    <row r="56" spans="2:4" x14ac:dyDescent="0.3">
      <c r="B56" s="4" t="s">
        <v>1342</v>
      </c>
      <c r="C56" s="4"/>
      <c r="D56" s="4"/>
    </row>
    <row r="58" spans="2:4" x14ac:dyDescent="0.3">
      <c r="B58" s="5" t="s">
        <v>1348</v>
      </c>
      <c r="C58" t="s">
        <v>1346</v>
      </c>
    </row>
    <row r="59" spans="2:4" x14ac:dyDescent="0.3">
      <c r="B59" s="7" t="s">
        <v>31</v>
      </c>
      <c r="C59" s="3">
        <v>277208</v>
      </c>
    </row>
    <row r="60" spans="2:4" x14ac:dyDescent="0.3">
      <c r="B60" s="7" t="s">
        <v>12</v>
      </c>
      <c r="C60" s="3">
        <v>309372</v>
      </c>
    </row>
    <row r="61" spans="2:4" x14ac:dyDescent="0.3">
      <c r="B61" s="7" t="s">
        <v>24</v>
      </c>
      <c r="C61" s="3">
        <v>300764</v>
      </c>
    </row>
    <row r="62" spans="2:4" x14ac:dyDescent="0.3">
      <c r="B62" s="7" t="s">
        <v>16</v>
      </c>
      <c r="C62" s="3">
        <v>306814</v>
      </c>
    </row>
    <row r="63" spans="2:4" x14ac:dyDescent="0.3">
      <c r="B63" s="7" t="s">
        <v>27</v>
      </c>
      <c r="C63" s="3">
        <v>312444</v>
      </c>
    </row>
    <row r="64" spans="2:4" x14ac:dyDescent="0.3">
      <c r="B64" s="7" t="s">
        <v>1349</v>
      </c>
      <c r="C64" s="3">
        <v>1506602</v>
      </c>
    </row>
    <row r="65" spans="2:5" x14ac:dyDescent="0.3">
      <c r="B65" s="7"/>
      <c r="C65" s="3"/>
    </row>
    <row r="66" spans="2:5" x14ac:dyDescent="0.3">
      <c r="B66" s="7"/>
      <c r="C66" s="3"/>
    </row>
    <row r="67" spans="2:5" x14ac:dyDescent="0.3">
      <c r="B67" s="7"/>
      <c r="C67" s="3"/>
    </row>
    <row r="68" spans="2:5" x14ac:dyDescent="0.3">
      <c r="B68" s="7"/>
      <c r="C68" s="3"/>
    </row>
    <row r="69" spans="2:5" x14ac:dyDescent="0.3">
      <c r="B69" s="7"/>
      <c r="C69" s="3"/>
    </row>
    <row r="70" spans="2:5" x14ac:dyDescent="0.3">
      <c r="B70" s="7"/>
      <c r="C70" s="3"/>
    </row>
    <row r="71" spans="2:5" x14ac:dyDescent="0.3">
      <c r="B71" s="7"/>
      <c r="C71" s="3"/>
    </row>
    <row r="72" spans="2:5" x14ac:dyDescent="0.3">
      <c r="B72" s="7"/>
      <c r="C72" s="3"/>
    </row>
    <row r="73" spans="2:5" x14ac:dyDescent="0.3">
      <c r="B73" s="7"/>
      <c r="C73" s="3"/>
    </row>
    <row r="74" spans="2:5" x14ac:dyDescent="0.3">
      <c r="B74" s="7"/>
      <c r="C74" s="3"/>
    </row>
    <row r="75" spans="2:5" x14ac:dyDescent="0.3">
      <c r="B75" s="7"/>
      <c r="C75" s="3"/>
    </row>
    <row r="77" spans="2:5" x14ac:dyDescent="0.3">
      <c r="B77" s="4" t="s">
        <v>1343</v>
      </c>
      <c r="C77" s="4"/>
      <c r="D77" s="4"/>
      <c r="E77" s="4"/>
    </row>
    <row r="78" spans="2:5" x14ac:dyDescent="0.3">
      <c r="B78" s="5" t="s">
        <v>1348</v>
      </c>
      <c r="C78" t="s">
        <v>1347</v>
      </c>
    </row>
    <row r="79" spans="2:5" x14ac:dyDescent="0.3">
      <c r="B79" s="7" t="s">
        <v>31</v>
      </c>
      <c r="C79" s="3">
        <v>20987.540000000008</v>
      </c>
    </row>
    <row r="80" spans="2:5" x14ac:dyDescent="0.3">
      <c r="B80" s="7" t="s">
        <v>12</v>
      </c>
      <c r="C80" s="3">
        <v>17092.000000000011</v>
      </c>
    </row>
    <row r="81" spans="2:15" x14ac:dyDescent="0.3">
      <c r="B81" s="7" t="s">
        <v>24</v>
      </c>
      <c r="C81" s="3">
        <v>17271.120000000003</v>
      </c>
    </row>
    <row r="82" spans="2:15" x14ac:dyDescent="0.3">
      <c r="B82" s="7" t="s">
        <v>16</v>
      </c>
      <c r="C82" s="3">
        <v>20427.280000000006</v>
      </c>
    </row>
    <row r="83" spans="2:15" x14ac:dyDescent="0.3">
      <c r="B83" s="7" t="s">
        <v>27</v>
      </c>
      <c r="C83" s="3">
        <v>19064.480000000003</v>
      </c>
    </row>
    <row r="84" spans="2:15" x14ac:dyDescent="0.3">
      <c r="B84" s="7" t="s">
        <v>1349</v>
      </c>
      <c r="C84" s="3">
        <v>94842.420000000042</v>
      </c>
    </row>
    <row r="85" spans="2:15" x14ac:dyDescent="0.3">
      <c r="B85" s="7"/>
      <c r="C85" s="3"/>
    </row>
    <row r="86" spans="2:15" x14ac:dyDescent="0.3">
      <c r="B86" s="7"/>
      <c r="C86" s="3"/>
    </row>
    <row r="87" spans="2:15" x14ac:dyDescent="0.3">
      <c r="B87" s="7"/>
      <c r="C87" s="3"/>
    </row>
    <row r="88" spans="2:15" x14ac:dyDescent="0.3">
      <c r="B88" s="7"/>
      <c r="C88" s="3"/>
    </row>
    <row r="89" spans="2:15" x14ac:dyDescent="0.3">
      <c r="B89" s="7"/>
      <c r="C89" s="3"/>
    </row>
    <row r="90" spans="2:15" x14ac:dyDescent="0.3">
      <c r="B90" s="7"/>
      <c r="C90" s="3"/>
    </row>
    <row r="91" spans="2:15" x14ac:dyDescent="0.3">
      <c r="B91" s="7"/>
      <c r="C91" s="3"/>
    </row>
    <row r="93" spans="2:15" x14ac:dyDescent="0.3">
      <c r="B93" s="4" t="s">
        <v>1344</v>
      </c>
      <c r="C93" s="4"/>
    </row>
    <row r="94" spans="2:15" x14ac:dyDescent="0.3">
      <c r="B94" s="5" t="s">
        <v>1348</v>
      </c>
      <c r="C94" t="s">
        <v>1345</v>
      </c>
    </row>
    <row r="95" spans="2:15" x14ac:dyDescent="0.3">
      <c r="B95" s="7" t="s">
        <v>41</v>
      </c>
      <c r="C95" s="3">
        <v>65</v>
      </c>
      <c r="N95" t="str">
        <f t="shared" ref="N95:N106" si="0">B95</f>
        <v>Haryana</v>
      </c>
      <c r="O95">
        <f t="shared" ref="O95:O106" si="1">C95</f>
        <v>65</v>
      </c>
    </row>
    <row r="96" spans="2:15" x14ac:dyDescent="0.3">
      <c r="B96" s="7" t="s">
        <v>43</v>
      </c>
      <c r="C96" s="3">
        <v>66</v>
      </c>
      <c r="N96" t="str">
        <f t="shared" si="0"/>
        <v>Kerala</v>
      </c>
      <c r="O96">
        <f t="shared" si="1"/>
        <v>66</v>
      </c>
    </row>
    <row r="97" spans="2:15" x14ac:dyDescent="0.3">
      <c r="B97" s="7" t="s">
        <v>13</v>
      </c>
      <c r="C97" s="3">
        <v>73</v>
      </c>
      <c r="N97" t="str">
        <f t="shared" si="0"/>
        <v>Meghalaya</v>
      </c>
      <c r="O97">
        <f t="shared" si="1"/>
        <v>73</v>
      </c>
    </row>
    <row r="98" spans="2:15" x14ac:dyDescent="0.3">
      <c r="B98" s="7" t="s">
        <v>28</v>
      </c>
      <c r="C98" s="3">
        <v>97</v>
      </c>
      <c r="N98" t="str">
        <f t="shared" si="0"/>
        <v>Bihar</v>
      </c>
      <c r="O98">
        <f t="shared" si="1"/>
        <v>97</v>
      </c>
    </row>
    <row r="99" spans="2:15" x14ac:dyDescent="0.3">
      <c r="B99" s="7" t="s">
        <v>25</v>
      </c>
      <c r="C99" s="3">
        <v>99</v>
      </c>
      <c r="N99" t="str">
        <f t="shared" si="0"/>
        <v>West Bengal</v>
      </c>
      <c r="O99">
        <f t="shared" si="1"/>
        <v>99</v>
      </c>
    </row>
    <row r="100" spans="2:15" x14ac:dyDescent="0.3">
      <c r="B100" s="7" t="s">
        <v>17</v>
      </c>
      <c r="C100" s="3">
        <v>99</v>
      </c>
      <c r="N100" t="str">
        <f t="shared" si="0"/>
        <v>Uttar Pradesh</v>
      </c>
      <c r="O100">
        <f t="shared" si="1"/>
        <v>99</v>
      </c>
    </row>
    <row r="101" spans="2:15" x14ac:dyDescent="0.3">
      <c r="B101" s="7" t="s">
        <v>22</v>
      </c>
      <c r="C101" s="3">
        <v>99</v>
      </c>
      <c r="N101" t="str">
        <f t="shared" si="0"/>
        <v>Delhi</v>
      </c>
      <c r="O101">
        <f t="shared" si="1"/>
        <v>99</v>
      </c>
    </row>
    <row r="102" spans="2:15" x14ac:dyDescent="0.3">
      <c r="B102" s="7" t="s">
        <v>32</v>
      </c>
      <c r="C102" s="3">
        <v>112</v>
      </c>
      <c r="N102" t="str">
        <f t="shared" si="0"/>
        <v>Goa</v>
      </c>
      <c r="O102">
        <f t="shared" si="1"/>
        <v>112</v>
      </c>
    </row>
    <row r="103" spans="2:15" x14ac:dyDescent="0.3">
      <c r="B103" s="7" t="s">
        <v>35</v>
      </c>
      <c r="C103" s="3">
        <v>112</v>
      </c>
      <c r="N103" t="str">
        <f t="shared" si="0"/>
        <v>Karnataka</v>
      </c>
      <c r="O103">
        <f t="shared" si="1"/>
        <v>112</v>
      </c>
    </row>
    <row r="104" spans="2:15" x14ac:dyDescent="0.3">
      <c r="B104" s="7" t="s">
        <v>39</v>
      </c>
      <c r="C104" s="3">
        <v>113</v>
      </c>
      <c r="N104" t="str">
        <f t="shared" si="0"/>
        <v>Jharkhand</v>
      </c>
      <c r="O104">
        <f t="shared" si="1"/>
        <v>113</v>
      </c>
    </row>
    <row r="105" spans="2:15" x14ac:dyDescent="0.3">
      <c r="B105" s="7" t="s">
        <v>20</v>
      </c>
      <c r="C105" s="3">
        <v>142</v>
      </c>
      <c r="N105" t="str">
        <f t="shared" si="0"/>
        <v>Maharashtra</v>
      </c>
      <c r="O105">
        <f t="shared" si="1"/>
        <v>142</v>
      </c>
    </row>
    <row r="106" spans="2:15" x14ac:dyDescent="0.3">
      <c r="B106" s="7" t="s">
        <v>37</v>
      </c>
      <c r="C106" s="3">
        <v>153</v>
      </c>
      <c r="N106" t="str">
        <f t="shared" si="0"/>
        <v>Gujarat</v>
      </c>
      <c r="O106">
        <f t="shared" si="1"/>
        <v>153</v>
      </c>
    </row>
    <row r="107" spans="2:15" x14ac:dyDescent="0.3">
      <c r="B107" s="7" t="s">
        <v>1349</v>
      </c>
      <c r="C107" s="3">
        <v>1230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C0582-7824-4847-97A3-7209C6B77E46}">
  <dimension ref="A1:A3"/>
  <sheetViews>
    <sheetView tabSelected="1" zoomScale="60" zoomScaleNormal="60" workbookViewId="0">
      <selection activeCell="AH25" sqref="AH25"/>
    </sheetView>
  </sheetViews>
  <sheetFormatPr defaultRowHeight="14.4" x14ac:dyDescent="0.3"/>
  <cols>
    <col min="15" max="15" width="9" customWidth="1"/>
  </cols>
  <sheetData>
    <row r="1" customFormat="1" x14ac:dyDescent="0.3"/>
    <row r="2" customFormat="1" x14ac:dyDescent="0.3"/>
    <row r="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644EEB-D10F-44EC-B8B7-12DD310F61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 one month sales Report</vt:lpstr>
      <vt:lpstr>KPI</vt:lpstr>
      <vt:lpstr>Chat</vt:lpstr>
      <vt:lpstr>full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Patil</dc:creator>
  <cp:lastModifiedBy>Vivek Patil</cp:lastModifiedBy>
  <dcterms:created xsi:type="dcterms:W3CDTF">2026-01-01T07:15:20Z</dcterms:created>
  <dcterms:modified xsi:type="dcterms:W3CDTF">2026-01-05T07:44:31Z</dcterms:modified>
</cp:coreProperties>
</file>