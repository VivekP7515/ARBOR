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rbor\Excel\"/>
    </mc:Choice>
  </mc:AlternateContent>
  <xr:revisionPtr revIDLastSave="0" documentId="13_ncr:1_{E3F19161-08C2-444A-95A7-60EA8081EF13}" xr6:coauthVersionLast="47" xr6:coauthVersionMax="47" xr10:uidLastSave="{00000000-0000-0000-0000-000000000000}"/>
  <bookViews>
    <workbookView xWindow="-108" yWindow="-108" windowWidth="23256" windowHeight="12456" xr2:uid="{1FEF1213-5C6B-40E1-9D8B-A47D6B5A2DBE}"/>
  </bookViews>
  <sheets>
    <sheet name="Sheet1" sheetId="1" r:id="rId1"/>
    <sheet name="Sheet2" sheetId="2" r:id="rId2"/>
  </sheets>
  <definedNames>
    <definedName name="_xlnm._FilterDatabase" localSheetId="0" hidden="1">Sheet1!$I$3:$J$5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J34" i="1"/>
  <c r="J31" i="1"/>
  <c r="J28" i="1"/>
  <c r="K25" i="1"/>
  <c r="I24" i="1"/>
  <c r="J21" i="1"/>
  <c r="J18" i="1"/>
  <c r="J15" i="1"/>
  <c r="J12" i="1"/>
  <c r="J9" i="1"/>
  <c r="J8" i="1"/>
  <c r="I4" i="1"/>
</calcChain>
</file>

<file path=xl/sharedStrings.xml><?xml version="1.0" encoding="utf-8"?>
<sst xmlns="http://schemas.openxmlformats.org/spreadsheetml/2006/main" count="68" uniqueCount="41">
  <si>
    <t>StudentID</t>
  </si>
  <si>
    <t>StudentName</t>
  </si>
  <si>
    <t>SQL</t>
  </si>
  <si>
    <t>PowerBI</t>
  </si>
  <si>
    <t>Excel</t>
  </si>
  <si>
    <t>Python</t>
  </si>
  <si>
    <t>Statistics</t>
  </si>
  <si>
    <t>Amit Sharma</t>
  </si>
  <si>
    <t>Priya Verma</t>
  </si>
  <si>
    <t>Rahul Patil</t>
  </si>
  <si>
    <t>Sneha Kulkarni</t>
  </si>
  <si>
    <t>Rohit Jadhav</t>
  </si>
  <si>
    <t>Meena Nair</t>
  </si>
  <si>
    <t>Karan Singh</t>
  </si>
  <si>
    <t>Deepa Chavan</t>
  </si>
  <si>
    <t>Vikas More</t>
  </si>
  <si>
    <t>Anita Pawar</t>
  </si>
  <si>
    <t>Suresh Deshmukh</t>
  </si>
  <si>
    <t>Pooja Mali</t>
  </si>
  <si>
    <t>Harsh Yadav</t>
  </si>
  <si>
    <t>Neha Sawant</t>
  </si>
  <si>
    <t>Sameer Shaikh</t>
  </si>
  <si>
    <t>Ritu Goswami</t>
  </si>
  <si>
    <t>Anand Karpe</t>
  </si>
  <si>
    <t>Vidya Kamble</t>
  </si>
  <si>
    <t>Nitin Bhosale</t>
  </si>
  <si>
    <t>Komal Gaikwad</t>
  </si>
  <si>
    <t>1. Find marks of a student using Student Name with INDEX &amp; MATCH.</t>
  </si>
  <si>
    <t>2. Get Student Name using Student ID with INDEX &amp; MATCH.</t>
  </si>
  <si>
    <t>3. Find Python marks of “Rahul Patil” using INDEX &amp; MATCH.</t>
  </si>
  <si>
    <t>4. Extract Excel subject marks for “Sneha Kulkarni” using INDEX &amp; MATCH.</t>
  </si>
  <si>
    <t>5. Find PowerBI marks using Student ID = 2 with INDEX &amp; MATCH.</t>
  </si>
  <si>
    <t>6. Return Statistics marks for “Rohit Jadhav” using INDEX &amp; MATCH.</t>
  </si>
  <si>
    <t>7. Use INDEX &amp; MATCH to get marks based on Student Name and Subject Name.</t>
  </si>
  <si>
    <t>8. Find SQL marks of “Amit Sharma” using INDEX &amp; MATCH.</t>
  </si>
  <si>
    <t>9. Identify the column number of subject “Excel” using MATCH function.</t>
  </si>
  <si>
    <t>10. Display marks of “Rahul Patil” for subject “Statistics” using INDEX &amp; MATCH.</t>
  </si>
  <si>
    <t>Subject Name</t>
  </si>
  <si>
    <t>Subject Marks</t>
  </si>
  <si>
    <t xml:space="preserve"> get marks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</si>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</sst>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 vertical="center" indent="1"/>
    </xf>
    <xf numFmtId="0" fontId="1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18A9B-808C-4989-9B85-F4D149D81E23}" name="Data" displayName="Data" ref="A3:G23" totalsRowShown="0" headerRowDxfId="1" dataDxfId="2" headerRowBorderDxfId="10" tableBorderDxfId="11" totalsRowBorderDxfId="9">
  <autoFilter ref="A3:G23" xr:uid="{A2218A9B-808C-4989-9B85-F4D149D81E23}"/>
  <sortState xmlns:xlrd2="http://schemas.microsoft.com/office/spreadsheetml/2017/richdata2" ref="A4:G23">
    <sortCondition ref="B4:B23"/>
  </sortState>
  <tableColumns count="7">
    <tableColumn id="1" xr3:uid="{EF4CE039-4C11-47CE-BAA8-4B6C6215A0DE}" name="StudentID" dataDxfId="8"/>
    <tableColumn id="2" xr3:uid="{05F503E4-4454-4B0E-964C-35CC1D6CDC81}" name="StudentName" dataDxfId="0"/>
    <tableColumn id="3" xr3:uid="{600D9194-82F6-44DB-B03F-11B9834C01F6}" name="SQL" dataDxfId="7"/>
    <tableColumn id="4" xr3:uid="{1F6CCB77-BB8A-472F-861F-166023B3B667}" name="PowerBI" dataDxfId="6"/>
    <tableColumn id="5" xr3:uid="{CA76FD55-35CE-44A0-88DE-135A7D0014FB}" name="Excel" dataDxfId="5"/>
    <tableColumn id="6" xr3:uid="{9490AFD5-49CF-453B-BA55-C1BB05A66C24}" name="Python" dataDxfId="4"/>
    <tableColumn id="7" xr3:uid="{B5A46AA4-E50D-4734-8580-B3E43B770580}" name="Statistic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E51D-BC25-484F-B688-C46D3A939063}">
  <dimension ref="A1:K34"/>
  <sheetViews>
    <sheetView tabSelected="1" topLeftCell="B1" zoomScaleNormal="100" workbookViewId="0">
      <selection activeCell="M1" sqref="M1"/>
    </sheetView>
  </sheetViews>
  <sheetFormatPr defaultRowHeight="14.4" x14ac:dyDescent="0.3"/>
  <cols>
    <col min="1" max="1" width="11.33203125" customWidth="1"/>
    <col min="2" max="2" width="15.33203125" bestFit="1" customWidth="1"/>
    <col min="4" max="4" width="9.88671875" customWidth="1"/>
    <col min="6" max="6" width="9" customWidth="1"/>
    <col min="7" max="8" width="10.21875" customWidth="1"/>
    <col min="9" max="9" width="18.33203125" customWidth="1"/>
    <col min="10" max="10" width="50.77734375" customWidth="1"/>
    <col min="11" max="11" width="12.77734375" bestFit="1" customWidth="1"/>
  </cols>
  <sheetData>
    <row r="1" spans="1:11" ht="46.2" x14ac:dyDescent="0.3">
      <c r="F1" s="23" t="s">
        <v>40</v>
      </c>
      <c r="G1" s="23"/>
      <c r="H1" s="23"/>
      <c r="I1" s="23"/>
      <c r="J1" s="23"/>
    </row>
    <row r="2" spans="1:11" s="24" customFormat="1" ht="13.8" x14ac:dyDescent="0.3">
      <c r="F2" s="25"/>
      <c r="G2" s="25"/>
      <c r="H2" s="25"/>
      <c r="I2" s="25"/>
      <c r="J2" s="25"/>
    </row>
    <row r="3" spans="1:11" x14ac:dyDescent="0.3">
      <c r="A3" s="9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4"/>
      <c r="I3" s="17" t="s">
        <v>27</v>
      </c>
      <c r="J3" s="17"/>
      <c r="K3" s="17"/>
    </row>
    <row r="4" spans="1:11" x14ac:dyDescent="0.3">
      <c r="A4" s="8">
        <v>1</v>
      </c>
      <c r="B4" s="2" t="s">
        <v>7</v>
      </c>
      <c r="C4" s="2">
        <v>78</v>
      </c>
      <c r="D4" s="2">
        <v>82</v>
      </c>
      <c r="E4" s="2">
        <v>75</v>
      </c>
      <c r="F4" s="2">
        <v>80</v>
      </c>
      <c r="G4" s="5">
        <v>74</v>
      </c>
      <c r="H4" s="7"/>
      <c r="I4" s="1" t="str">
        <f>$B$3</f>
        <v>StudentName</v>
      </c>
      <c r="J4" s="1" t="s">
        <v>37</v>
      </c>
      <c r="K4" s="1" t="s">
        <v>38</v>
      </c>
    </row>
    <row r="5" spans="1:11" x14ac:dyDescent="0.3">
      <c r="A5" s="8">
        <v>17</v>
      </c>
      <c r="B5" s="2" t="s">
        <v>23</v>
      </c>
      <c r="C5" s="2">
        <v>75</v>
      </c>
      <c r="D5" s="2">
        <v>73</v>
      </c>
      <c r="E5" s="2">
        <v>76</v>
      </c>
      <c r="F5" s="2">
        <v>74</v>
      </c>
      <c r="G5" s="5">
        <v>72</v>
      </c>
      <c r="H5" s="7"/>
      <c r="I5" s="16" t="s">
        <v>23</v>
      </c>
      <c r="J5" s="16" t="s">
        <v>4</v>
      </c>
      <c r="K5" s="15">
        <f>INDEX(C4:G23,
MATCH(I5, B4:B23, 0),
MATCH(J5, C3:G3, 0))</f>
        <v>76</v>
      </c>
    </row>
    <row r="6" spans="1:11" x14ac:dyDescent="0.3">
      <c r="A6" s="8">
        <v>10</v>
      </c>
      <c r="B6" s="2" t="s">
        <v>16</v>
      </c>
      <c r="C6" s="2">
        <v>91</v>
      </c>
      <c r="D6" s="2">
        <v>89</v>
      </c>
      <c r="E6" s="2">
        <v>92</v>
      </c>
      <c r="F6" s="2">
        <v>90</v>
      </c>
      <c r="G6" s="5">
        <v>88</v>
      </c>
      <c r="H6" s="7"/>
    </row>
    <row r="7" spans="1:11" x14ac:dyDescent="0.3">
      <c r="A7" s="8">
        <v>8</v>
      </c>
      <c r="B7" s="2" t="s">
        <v>14</v>
      </c>
      <c r="C7" s="2">
        <v>82</v>
      </c>
      <c r="D7" s="2">
        <v>80</v>
      </c>
      <c r="E7" s="2">
        <v>85</v>
      </c>
      <c r="F7" s="2">
        <v>83</v>
      </c>
      <c r="G7" s="5">
        <v>81</v>
      </c>
      <c r="H7" s="7"/>
      <c r="I7" s="19" t="s">
        <v>28</v>
      </c>
      <c r="J7" s="19"/>
      <c r="K7" s="18"/>
    </row>
    <row r="8" spans="1:11" x14ac:dyDescent="0.3">
      <c r="A8" s="8">
        <v>13</v>
      </c>
      <c r="B8" s="2" t="s">
        <v>19</v>
      </c>
      <c r="C8" s="2">
        <v>80</v>
      </c>
      <c r="D8" s="2">
        <v>78</v>
      </c>
      <c r="E8" s="2">
        <v>82</v>
      </c>
      <c r="F8" s="2">
        <v>81</v>
      </c>
      <c r="G8" s="5">
        <v>79</v>
      </c>
      <c r="H8" s="7"/>
      <c r="I8" s="1" t="s">
        <v>0</v>
      </c>
      <c r="J8" s="1" t="str">
        <f>$B$3</f>
        <v>StudentName</v>
      </c>
    </row>
    <row r="9" spans="1:11" x14ac:dyDescent="0.3">
      <c r="A9" s="8">
        <v>7</v>
      </c>
      <c r="B9" s="2" t="s">
        <v>13</v>
      </c>
      <c r="C9" s="2">
        <v>76</v>
      </c>
      <c r="D9" s="2">
        <v>79</v>
      </c>
      <c r="E9" s="2">
        <v>74</v>
      </c>
      <c r="F9" s="2">
        <v>78</v>
      </c>
      <c r="G9" s="5">
        <v>75</v>
      </c>
      <c r="H9" s="7"/>
      <c r="I9" s="15">
        <v>3</v>
      </c>
      <c r="J9" s="15" t="str">
        <f>INDEX(Data[StudentName],MATCH(I9,Data[StudentID],))</f>
        <v>Rahul Patil</v>
      </c>
    </row>
    <row r="10" spans="1:11" x14ac:dyDescent="0.3">
      <c r="A10" s="8">
        <v>20</v>
      </c>
      <c r="B10" s="2" t="s">
        <v>26</v>
      </c>
      <c r="C10" s="2">
        <v>92</v>
      </c>
      <c r="D10" s="2">
        <v>94</v>
      </c>
      <c r="E10" s="2">
        <v>91</v>
      </c>
      <c r="F10" s="2">
        <v>93</v>
      </c>
      <c r="G10" s="5">
        <v>90</v>
      </c>
      <c r="H10" s="7"/>
    </row>
    <row r="11" spans="1:11" x14ac:dyDescent="0.3">
      <c r="A11" s="8">
        <v>6</v>
      </c>
      <c r="B11" s="2" t="s">
        <v>12</v>
      </c>
      <c r="C11" s="2">
        <v>88</v>
      </c>
      <c r="D11" s="2">
        <v>85</v>
      </c>
      <c r="E11" s="2">
        <v>87</v>
      </c>
      <c r="F11" s="2">
        <v>90</v>
      </c>
      <c r="G11" s="5">
        <v>86</v>
      </c>
      <c r="H11" s="7"/>
      <c r="I11" s="20" t="s">
        <v>29</v>
      </c>
      <c r="J11" s="20"/>
    </row>
    <row r="12" spans="1:11" x14ac:dyDescent="0.3">
      <c r="A12" s="8">
        <v>14</v>
      </c>
      <c r="B12" s="2" t="s">
        <v>20</v>
      </c>
      <c r="C12" s="2">
        <v>83</v>
      </c>
      <c r="D12" s="2">
        <v>85</v>
      </c>
      <c r="E12" s="2">
        <v>88</v>
      </c>
      <c r="F12" s="2">
        <v>84</v>
      </c>
      <c r="G12" s="5">
        <v>82</v>
      </c>
      <c r="H12" s="7"/>
      <c r="I12" s="15" t="s">
        <v>9</v>
      </c>
      <c r="J12" s="15">
        <f>INDEX(Data[Python],MATCH(I12,Data[StudentName],0))</f>
        <v>74</v>
      </c>
    </row>
    <row r="13" spans="1:11" x14ac:dyDescent="0.3">
      <c r="A13" s="8">
        <v>19</v>
      </c>
      <c r="B13" s="2" t="s">
        <v>25</v>
      </c>
      <c r="C13" s="2">
        <v>71</v>
      </c>
      <c r="D13" s="2">
        <v>70</v>
      </c>
      <c r="E13" s="2">
        <v>72</v>
      </c>
      <c r="F13" s="2">
        <v>73</v>
      </c>
      <c r="G13" s="5">
        <v>69</v>
      </c>
      <c r="H13" s="7"/>
    </row>
    <row r="14" spans="1:11" x14ac:dyDescent="0.3">
      <c r="A14" s="8">
        <v>12</v>
      </c>
      <c r="B14" s="2" t="s">
        <v>18</v>
      </c>
      <c r="C14" s="2">
        <v>86</v>
      </c>
      <c r="D14" s="2">
        <v>88</v>
      </c>
      <c r="E14" s="2">
        <v>84</v>
      </c>
      <c r="F14" s="2">
        <v>87</v>
      </c>
      <c r="G14" s="5">
        <v>85</v>
      </c>
      <c r="H14" s="7"/>
      <c r="I14" s="19" t="s">
        <v>30</v>
      </c>
      <c r="J14" s="19"/>
      <c r="K14" s="22"/>
    </row>
    <row r="15" spans="1:11" x14ac:dyDescent="0.3">
      <c r="A15" s="8">
        <v>2</v>
      </c>
      <c r="B15" s="2" t="s">
        <v>8</v>
      </c>
      <c r="C15" s="2">
        <v>85</v>
      </c>
      <c r="D15" s="2">
        <v>88</v>
      </c>
      <c r="E15" s="2">
        <v>90</v>
      </c>
      <c r="F15" s="2">
        <v>86</v>
      </c>
      <c r="G15" s="5">
        <v>84</v>
      </c>
      <c r="H15" s="7"/>
      <c r="I15" s="15" t="s">
        <v>10</v>
      </c>
      <c r="J15" s="15">
        <f>INDEX(Data[Excel],MATCH(I15,Data[StudentName],0))</f>
        <v>88</v>
      </c>
      <c r="K15" s="21"/>
    </row>
    <row r="16" spans="1:11" x14ac:dyDescent="0.3">
      <c r="A16" s="8">
        <v>3</v>
      </c>
      <c r="B16" s="2" t="s">
        <v>9</v>
      </c>
      <c r="C16" s="2">
        <v>72</v>
      </c>
      <c r="D16" s="2">
        <v>70</v>
      </c>
      <c r="E16" s="2">
        <v>68</v>
      </c>
      <c r="F16" s="2">
        <v>74</v>
      </c>
      <c r="G16" s="5">
        <v>69</v>
      </c>
      <c r="H16" s="7"/>
    </row>
    <row r="17" spans="1:11" x14ac:dyDescent="0.3">
      <c r="A17" s="8">
        <v>16</v>
      </c>
      <c r="B17" s="2" t="s">
        <v>22</v>
      </c>
      <c r="C17" s="2">
        <v>89</v>
      </c>
      <c r="D17" s="2">
        <v>90</v>
      </c>
      <c r="E17" s="2">
        <v>87</v>
      </c>
      <c r="F17" s="2">
        <v>91</v>
      </c>
      <c r="G17" s="5">
        <v>88</v>
      </c>
      <c r="H17" s="7"/>
      <c r="I17" s="20" t="s">
        <v>31</v>
      </c>
      <c r="J17" s="20"/>
    </row>
    <row r="18" spans="1:11" x14ac:dyDescent="0.3">
      <c r="A18" s="8">
        <v>5</v>
      </c>
      <c r="B18" s="2" t="s">
        <v>11</v>
      </c>
      <c r="C18" s="2">
        <v>65</v>
      </c>
      <c r="D18" s="2">
        <v>60</v>
      </c>
      <c r="E18" s="2">
        <v>70</v>
      </c>
      <c r="F18" s="2">
        <v>68</v>
      </c>
      <c r="G18" s="5">
        <v>66</v>
      </c>
      <c r="H18" s="7"/>
      <c r="I18" s="15">
        <v>2</v>
      </c>
      <c r="J18" s="15">
        <f>INDEX(Data[PowerBI],MATCH(I18,Data[StudentID],0))</f>
        <v>88</v>
      </c>
    </row>
    <row r="19" spans="1:11" x14ac:dyDescent="0.3">
      <c r="A19" s="8">
        <v>15</v>
      </c>
      <c r="B19" s="2" t="s">
        <v>21</v>
      </c>
      <c r="C19" s="2">
        <v>67</v>
      </c>
      <c r="D19" s="2">
        <v>65</v>
      </c>
      <c r="E19" s="2">
        <v>70</v>
      </c>
      <c r="F19" s="2">
        <v>69</v>
      </c>
      <c r="G19" s="5">
        <v>66</v>
      </c>
      <c r="H19" s="7"/>
    </row>
    <row r="20" spans="1:11" x14ac:dyDescent="0.3">
      <c r="A20" s="8">
        <v>4</v>
      </c>
      <c r="B20" s="2" t="s">
        <v>10</v>
      </c>
      <c r="C20" s="2">
        <v>90</v>
      </c>
      <c r="D20" s="2">
        <v>92</v>
      </c>
      <c r="E20" s="2">
        <v>88</v>
      </c>
      <c r="F20" s="2">
        <v>91</v>
      </c>
      <c r="G20" s="5">
        <v>89</v>
      </c>
      <c r="H20" s="7"/>
      <c r="I20" s="19" t="s">
        <v>32</v>
      </c>
      <c r="J20" s="19"/>
    </row>
    <row r="21" spans="1:11" x14ac:dyDescent="0.3">
      <c r="A21" s="8">
        <v>11</v>
      </c>
      <c r="B21" s="2" t="s">
        <v>17</v>
      </c>
      <c r="C21" s="2">
        <v>74</v>
      </c>
      <c r="D21" s="2">
        <v>76</v>
      </c>
      <c r="E21" s="2">
        <v>73</v>
      </c>
      <c r="F21" s="2">
        <v>75</v>
      </c>
      <c r="G21" s="5">
        <v>72</v>
      </c>
      <c r="H21" s="7"/>
      <c r="I21" s="15" t="s">
        <v>11</v>
      </c>
      <c r="J21" s="15">
        <f>INDEX(Data[Statistics],MATCH(I21,Data[StudentName],0))</f>
        <v>66</v>
      </c>
    </row>
    <row r="22" spans="1:11" x14ac:dyDescent="0.3">
      <c r="A22" s="8">
        <v>18</v>
      </c>
      <c r="B22" s="2" t="s">
        <v>24</v>
      </c>
      <c r="C22" s="2">
        <v>84</v>
      </c>
      <c r="D22" s="2">
        <v>86</v>
      </c>
      <c r="E22" s="2">
        <v>83</v>
      </c>
      <c r="F22" s="2">
        <v>85</v>
      </c>
      <c r="G22" s="5">
        <v>82</v>
      </c>
      <c r="H22" s="7"/>
    </row>
    <row r="23" spans="1:11" x14ac:dyDescent="0.3">
      <c r="A23" s="12">
        <v>9</v>
      </c>
      <c r="B23" s="6" t="s">
        <v>15</v>
      </c>
      <c r="C23" s="6">
        <v>69</v>
      </c>
      <c r="D23" s="6">
        <v>72</v>
      </c>
      <c r="E23" s="6">
        <v>70</v>
      </c>
      <c r="F23" s="6">
        <v>71</v>
      </c>
      <c r="G23" s="13">
        <v>68</v>
      </c>
      <c r="H23" s="7"/>
      <c r="I23" s="19" t="s">
        <v>33</v>
      </c>
      <c r="J23" s="19"/>
      <c r="K23" s="19"/>
    </row>
    <row r="24" spans="1:11" x14ac:dyDescent="0.3">
      <c r="I24" s="1" t="str">
        <f>$B$3</f>
        <v>StudentName</v>
      </c>
      <c r="J24" s="1" t="s">
        <v>37</v>
      </c>
      <c r="K24" s="1" t="s">
        <v>39</v>
      </c>
    </row>
    <row r="25" spans="1:11" x14ac:dyDescent="0.3">
      <c r="I25" s="15" t="s">
        <v>19</v>
      </c>
      <c r="J25" s="15" t="s">
        <v>6</v>
      </c>
      <c r="K25" s="15">
        <f>INDEX(Data[[SQL]:[Statistics]],
MATCH(I25, Data[StudentName], 0),
MATCH(J25, Data[[#Headers],[SQL]:[Statistics]], 0))</f>
        <v>79</v>
      </c>
    </row>
    <row r="27" spans="1:11" x14ac:dyDescent="0.3">
      <c r="I27" s="19" t="s">
        <v>34</v>
      </c>
      <c r="J27" s="19"/>
    </row>
    <row r="28" spans="1:11" x14ac:dyDescent="0.3">
      <c r="I28" s="15" t="s">
        <v>7</v>
      </c>
      <c r="J28" s="15">
        <f>INDEX(Data[SQL],MATCH(I28,Data[StudentName],0))</f>
        <v>78</v>
      </c>
    </row>
    <row r="30" spans="1:11" x14ac:dyDescent="0.3">
      <c r="I30" s="19" t="s">
        <v>35</v>
      </c>
      <c r="J30" s="19"/>
    </row>
    <row r="31" spans="1:11" x14ac:dyDescent="0.3">
      <c r="I31" s="15" t="s">
        <v>4</v>
      </c>
      <c r="J31" s="15">
        <f>MATCH(I31,Data[[#Headers],[SQL]:[Statistics]],0)</f>
        <v>3</v>
      </c>
    </row>
    <row r="33" spans="9:10" x14ac:dyDescent="0.3">
      <c r="I33" s="19" t="s">
        <v>36</v>
      </c>
      <c r="J33" s="19"/>
    </row>
    <row r="34" spans="9:10" x14ac:dyDescent="0.3">
      <c r="I34" s="15" t="s">
        <v>9</v>
      </c>
      <c r="J34" s="15">
        <f>INDEX(Data[Statistics],MATCH(I34,Data[StudentName],0))</f>
        <v>69</v>
      </c>
    </row>
  </sheetData>
  <dataConsolidate/>
  <mergeCells count="11">
    <mergeCell ref="I33:J33"/>
    <mergeCell ref="F1:J1"/>
    <mergeCell ref="I17:J17"/>
    <mergeCell ref="I20:J20"/>
    <mergeCell ref="I23:K23"/>
    <mergeCell ref="I27:J27"/>
    <mergeCell ref="I30:J30"/>
    <mergeCell ref="I3:K3"/>
    <mergeCell ref="I7:J7"/>
    <mergeCell ref="I11:J11"/>
    <mergeCell ref="I14:J14"/>
  </mergeCells>
  <dataValidations count="3">
    <dataValidation type="list" allowBlank="1" showInputMessage="1" showErrorMessage="1" sqref="I5 I25" xr:uid="{91A831B5-921F-4215-8D90-1490FF3639EA}">
      <formula1>$B$4:$B$23</formula1>
    </dataValidation>
    <dataValidation type="list" allowBlank="1" showInputMessage="1" showErrorMessage="1" sqref="I4 J8 I24" xr:uid="{2FC772AA-B35C-4764-8052-F0DB687B04F0}">
      <formula1>#REF!</formula1>
    </dataValidation>
    <dataValidation type="list" allowBlank="1" showInputMessage="1" showErrorMessage="1" sqref="I9" xr:uid="{884D1D07-27E4-49FA-9B89-D1AA5A9C191F}">
      <formula1>$A$4:$A$23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74A7E5-BC83-4536-9929-4876BB3B3BC3}">
          <x14:formula1>
            <xm:f>Sheet2!$B$1:$B$5</xm:f>
          </x14:formula1>
          <xm:sqref>J5 J25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4B90-FF64-424B-A88D-A28E3BC00691}">
  <dimension ref="A1:B10"/>
  <sheetViews>
    <sheetView workbookViewId="0">
      <selection activeCell="A10" sqref="A10"/>
    </sheetView>
  </sheetViews>
  <sheetFormatPr defaultRowHeight="14.4" x14ac:dyDescent="0.3"/>
  <cols>
    <col min="1" max="1" width="84.5546875" customWidth="1"/>
  </cols>
  <sheetData>
    <row r="1" spans="1:2" x14ac:dyDescent="0.3">
      <c r="A1" s="3" t="s">
        <v>27</v>
      </c>
      <c r="B1" s="14" t="s">
        <v>2</v>
      </c>
    </row>
    <row r="2" spans="1:2" x14ac:dyDescent="0.3">
      <c r="A2" s="3" t="s">
        <v>28</v>
      </c>
      <c r="B2" s="14" t="s">
        <v>3</v>
      </c>
    </row>
    <row r="3" spans="1:2" x14ac:dyDescent="0.3">
      <c r="A3" s="3" t="s">
        <v>29</v>
      </c>
      <c r="B3" s="14" t="s">
        <v>4</v>
      </c>
    </row>
    <row r="4" spans="1:2" x14ac:dyDescent="0.3">
      <c r="A4" s="3" t="s">
        <v>30</v>
      </c>
      <c r="B4" s="14" t="s">
        <v>5</v>
      </c>
    </row>
    <row r="5" spans="1:2" x14ac:dyDescent="0.3">
      <c r="A5" s="3" t="s">
        <v>31</v>
      </c>
      <c r="B5" s="14" t="s">
        <v>6</v>
      </c>
    </row>
    <row r="6" spans="1:2" x14ac:dyDescent="0.3">
      <c r="A6" s="3" t="s">
        <v>32</v>
      </c>
    </row>
    <row r="7" spans="1:2" x14ac:dyDescent="0.3">
      <c r="A7" s="3" t="s">
        <v>33</v>
      </c>
    </row>
    <row r="8" spans="1:2" x14ac:dyDescent="0.3">
      <c r="A8" s="3" t="s">
        <v>34</v>
      </c>
    </row>
    <row r="9" spans="1:2" x14ac:dyDescent="0.3">
      <c r="A9" s="3" t="s">
        <v>35</v>
      </c>
    </row>
    <row r="10" spans="1:2" x14ac:dyDescent="0.3">
      <c r="A10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Vivek Patil</cp:lastModifiedBy>
  <dcterms:created xsi:type="dcterms:W3CDTF">2025-12-26T05:54:26Z</dcterms:created>
  <dcterms:modified xsi:type="dcterms:W3CDTF">2026-01-07T14:36:20Z</dcterms:modified>
</cp:coreProperties>
</file>