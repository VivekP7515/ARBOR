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Arbor\Excel\Pivot Table examples\"/>
    </mc:Choice>
  </mc:AlternateContent>
  <xr:revisionPtr revIDLastSave="0" documentId="13_ncr:1_{D66800ED-C36A-46BC-8CBF-3C82B426F0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_Data" sheetId="1" r:id="rId1"/>
    <sheet name="Ques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4" i="1" l="1"/>
  <c r="K35" i="1"/>
  <c r="K36" i="1"/>
  <c r="K37" i="1"/>
  <c r="K38" i="1"/>
  <c r="K39" i="1"/>
  <c r="K40" i="1"/>
  <c r="K41" i="1"/>
  <c r="K42" i="1"/>
  <c r="K33" i="1"/>
  <c r="J34" i="1"/>
  <c r="J35" i="1"/>
  <c r="J36" i="1"/>
  <c r="J37" i="1"/>
  <c r="J38" i="1"/>
  <c r="J39" i="1"/>
  <c r="J40" i="1"/>
  <c r="J41" i="1"/>
  <c r="J42" i="1"/>
  <c r="J33" i="1"/>
  <c r="I34" i="1"/>
  <c r="I35" i="1"/>
  <c r="I36" i="1"/>
  <c r="I37" i="1"/>
  <c r="I38" i="1"/>
  <c r="I39" i="1"/>
  <c r="I40" i="1"/>
  <c r="I41" i="1"/>
  <c r="I42" i="1"/>
  <c r="I33" i="1"/>
  <c r="H42" i="1"/>
  <c r="H37" i="1"/>
  <c r="H38" i="1"/>
  <c r="H39" i="1"/>
  <c r="H40" i="1"/>
  <c r="H41" i="1"/>
  <c r="H34" i="1"/>
  <c r="H35" i="1"/>
  <c r="H36" i="1"/>
  <c r="H33" i="1"/>
  <c r="K21" i="1"/>
  <c r="K22" i="1"/>
  <c r="K23" i="1"/>
  <c r="K24" i="1"/>
  <c r="K25" i="1"/>
  <c r="K26" i="1"/>
  <c r="K27" i="1"/>
  <c r="K28" i="1"/>
  <c r="K29" i="1"/>
  <c r="K20" i="1"/>
  <c r="J21" i="1"/>
  <c r="J22" i="1"/>
  <c r="J23" i="1"/>
  <c r="J24" i="1"/>
  <c r="J25" i="1"/>
  <c r="J26" i="1"/>
  <c r="J27" i="1"/>
  <c r="J28" i="1"/>
  <c r="J29" i="1"/>
  <c r="J20" i="1"/>
  <c r="I21" i="1"/>
  <c r="I22" i="1"/>
  <c r="I23" i="1"/>
  <c r="I24" i="1"/>
  <c r="I25" i="1"/>
  <c r="I26" i="1"/>
  <c r="I27" i="1"/>
  <c r="I28" i="1"/>
  <c r="I29" i="1"/>
  <c r="I20" i="1"/>
  <c r="H21" i="1"/>
  <c r="H22" i="1"/>
  <c r="H23" i="1"/>
  <c r="H24" i="1"/>
  <c r="H25" i="1"/>
  <c r="H26" i="1"/>
  <c r="H27" i="1"/>
  <c r="H28" i="1"/>
  <c r="H29" i="1"/>
  <c r="H20" i="1"/>
  <c r="K8" i="1"/>
  <c r="K9" i="1"/>
  <c r="K10" i="1"/>
  <c r="K11" i="1"/>
  <c r="K12" i="1"/>
  <c r="K13" i="1"/>
  <c r="K14" i="1"/>
  <c r="K15" i="1"/>
  <c r="K16" i="1"/>
  <c r="K7" i="1"/>
  <c r="J8" i="1"/>
  <c r="J9" i="1"/>
  <c r="J10" i="1"/>
  <c r="J11" i="1"/>
  <c r="J12" i="1"/>
  <c r="J13" i="1"/>
  <c r="J14" i="1"/>
  <c r="J15" i="1"/>
  <c r="J16" i="1"/>
  <c r="J7" i="1"/>
  <c r="I8" i="1"/>
  <c r="I9" i="1"/>
  <c r="I10" i="1"/>
  <c r="I11" i="1"/>
  <c r="I12" i="1"/>
  <c r="I13" i="1"/>
  <c r="I14" i="1"/>
  <c r="I15" i="1"/>
  <c r="I16" i="1"/>
  <c r="I7" i="1"/>
  <c r="H8" i="1"/>
  <c r="H9" i="1"/>
  <c r="H10" i="1"/>
  <c r="H11" i="1"/>
  <c r="H12" i="1"/>
  <c r="H13" i="1"/>
  <c r="H14" i="1"/>
  <c r="H15" i="1"/>
  <c r="H16" i="1"/>
  <c r="H7" i="1"/>
</calcChain>
</file>

<file path=xl/sharedStrings.xml><?xml version="1.0" encoding="utf-8"?>
<sst xmlns="http://schemas.openxmlformats.org/spreadsheetml/2006/main" count="94" uniqueCount="93">
  <si>
    <t>Customer_ID</t>
  </si>
  <si>
    <t>Customer_Name</t>
  </si>
  <si>
    <t>Email_ID</t>
  </si>
  <si>
    <t>Phone_Number</t>
  </si>
  <si>
    <t>Product_Code</t>
  </si>
  <si>
    <t>City</t>
  </si>
  <si>
    <t>Rahul Sharma</t>
  </si>
  <si>
    <t>rahul.sharma@gmail.com</t>
  </si>
  <si>
    <t>9876543210</t>
  </si>
  <si>
    <t>PRD-AX-1001</t>
  </si>
  <si>
    <t>Mumbai</t>
  </si>
  <si>
    <t>Priya Patel</t>
  </si>
  <si>
    <t>priya.patel@yahoo.com</t>
  </si>
  <si>
    <t>9123456789</t>
  </si>
  <si>
    <t>PRD-BX-1002</t>
  </si>
  <si>
    <t>Ahmedabad</t>
  </si>
  <si>
    <t>Anil Kumar</t>
  </si>
  <si>
    <t>anil.kumar@outlook.com</t>
  </si>
  <si>
    <t>9988776655</t>
  </si>
  <si>
    <t>PRD-CX-1003</t>
  </si>
  <si>
    <t>Delhi</t>
  </si>
  <si>
    <t>Sneha Iyer</t>
  </si>
  <si>
    <t>sneha.iyer@gmail.com</t>
  </si>
  <si>
    <t>9012345678</t>
  </si>
  <si>
    <t>PRD-DX-1004</t>
  </si>
  <si>
    <t>Chennai</t>
  </si>
  <si>
    <t>Rohit Mehta</t>
  </si>
  <si>
    <t>rohit.mehta@yahoo.com</t>
  </si>
  <si>
    <t>8899776655</t>
  </si>
  <si>
    <t>PRD-EX-1005</t>
  </si>
  <si>
    <t>Pune</t>
  </si>
  <si>
    <t>Neha Singh</t>
  </si>
  <si>
    <t>neha.singh@gmail.com</t>
  </si>
  <si>
    <t>7766554433</t>
  </si>
  <si>
    <t>PRD-FX-1006</t>
  </si>
  <si>
    <t>Jaipur</t>
  </si>
  <si>
    <t>Amit Verma</t>
  </si>
  <si>
    <t>amit.verma@outlook.com</t>
  </si>
  <si>
    <t>6655443322</t>
  </si>
  <si>
    <t>PRD-GX-1007</t>
  </si>
  <si>
    <t>Bhopal</t>
  </si>
  <si>
    <t>Kavita Joshi</t>
  </si>
  <si>
    <t>kavita.joshi@gmail.com</t>
  </si>
  <si>
    <t>5544332211</t>
  </si>
  <si>
    <t>PRD-HX-1008</t>
  </si>
  <si>
    <t>Indore</t>
  </si>
  <si>
    <t>Suresh Nair</t>
  </si>
  <si>
    <t>suresh.nair@yahoo.com</t>
  </si>
  <si>
    <t>4433221100</t>
  </si>
  <si>
    <t>PRD-IX-1009</t>
  </si>
  <si>
    <t>Kochi</t>
  </si>
  <si>
    <t>Pooja Kulkarni</t>
  </si>
  <si>
    <t>pooja.kulkarni@gmail.com</t>
  </si>
  <si>
    <t>3322110099</t>
  </si>
  <si>
    <t>PRD-JX-1010</t>
  </si>
  <si>
    <t>Nashik</t>
  </si>
  <si>
    <t>1. Find the length of each Customer_Name using LEN.</t>
  </si>
  <si>
    <t>2. Find the length of each Email_ID using LEN.</t>
  </si>
  <si>
    <t>3. Extract the first 5 characters from Customer_Name using LEFT.</t>
  </si>
  <si>
    <t>4. Extract the last 4 digits of Phone_Number using RIGHT.</t>
  </si>
  <si>
    <t>5. From Product_Code, extract the first 3 characters using LEFT.</t>
  </si>
  <si>
    <t>6. From Product_Code, extract the middle two letters (AX, BX, etc.) using MID.</t>
  </si>
  <si>
    <t>7. From Product_Code, extract the last 4 digits using RIGHT.</t>
  </si>
  <si>
    <t>8. Extract the username part of Email_ID using LEFT and LEN.</t>
  </si>
  <si>
    <t>9. Extract the domain name (gmail, yahoo, outlook) from Email_ID using MID.</t>
  </si>
  <si>
    <t>10. Count total characters in Product_Code using LEN.</t>
  </si>
  <si>
    <t>11. Extract first letter of City using LEFT.</t>
  </si>
  <si>
    <t>12. Extract last 2 characters of City using RIGHT.</t>
  </si>
  <si>
    <t>length Customer_Nmae</t>
  </si>
  <si>
    <t>first 5 characters from Customer_Name</t>
  </si>
  <si>
    <t xml:space="preserve">last 4 digits of Phone_Number </t>
  </si>
  <si>
    <t>Questions 1</t>
  </si>
  <si>
    <t>Questions 2</t>
  </si>
  <si>
    <t>Questions 3</t>
  </si>
  <si>
    <t>Questions 4</t>
  </si>
  <si>
    <t>Product_Code, first 3 characters</t>
  </si>
  <si>
    <t>Questions 5</t>
  </si>
  <si>
    <t>Product_Code, middle two letters</t>
  </si>
  <si>
    <t>Questions 6</t>
  </si>
  <si>
    <t xml:space="preserve"> Product_Code, last 4 digits </t>
  </si>
  <si>
    <t>Questions 7</t>
  </si>
  <si>
    <t xml:space="preserve">username part of Email_ID </t>
  </si>
  <si>
    <t>Questions 8</t>
  </si>
  <si>
    <t>Questions 9</t>
  </si>
  <si>
    <t xml:space="preserve"> domain name (gmail, yahoo, outlook) from Email_ID</t>
  </si>
  <si>
    <t>total characters in Product_Code</t>
  </si>
  <si>
    <t>Questions 10</t>
  </si>
  <si>
    <t>Questions 11</t>
  </si>
  <si>
    <t>first letter of City</t>
  </si>
  <si>
    <t>last 2 characters of City</t>
  </si>
  <si>
    <t>Questions 12</t>
  </si>
  <si>
    <t>Excel Text Functions</t>
  </si>
  <si>
    <t>Using LEN, LEFT, MID, 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</si>
</sst>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0" applyFont="1" applyBorder="1"/>
    <xf numFmtId="9" fontId="0" fillId="0" borderId="1" xfId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9" fontId="0" fillId="0" borderId="2" xfId="1" applyFont="1" applyBorder="1" applyAlignment="1">
      <alignment horizontal="center"/>
    </xf>
    <xf numFmtId="9" fontId="3" fillId="0" borderId="0" xfId="1" applyFont="1" applyBorder="1" applyAlignment="1">
      <alignment horizontal="center" vertical="center"/>
    </xf>
    <xf numFmtId="9" fontId="0" fillId="0" borderId="0" xfId="1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9" fontId="0" fillId="0" borderId="3" xfId="1" applyFont="1" applyBorder="1" applyAlignment="1">
      <alignment horizontal="center"/>
    </xf>
    <xf numFmtId="9" fontId="3" fillId="0" borderId="5" xfId="1" applyFont="1" applyBorder="1" applyAlignment="1">
      <alignment horizontal="center" vertical="center"/>
    </xf>
    <xf numFmtId="9" fontId="3" fillId="0" borderId="4" xfId="1" applyFont="1" applyBorder="1" applyAlignment="1">
      <alignment horizontal="center" vertical="center"/>
    </xf>
    <xf numFmtId="9" fontId="3" fillId="0" borderId="6" xfId="1" applyFont="1" applyBorder="1" applyAlignment="1">
      <alignment horizontal="center" vertical="center"/>
    </xf>
    <xf numFmtId="9" fontId="0" fillId="0" borderId="7" xfId="1" applyFont="1" applyBorder="1" applyAlignment="1">
      <alignment horizontal="center"/>
    </xf>
    <xf numFmtId="9" fontId="0" fillId="0" borderId="8" xfId="1" applyFont="1" applyBorder="1" applyAlignment="1">
      <alignment horizontal="center"/>
    </xf>
    <xf numFmtId="9" fontId="0" fillId="0" borderId="9" xfId="1" applyFont="1" applyBorder="1" applyAlignment="1">
      <alignment horizontal="center"/>
    </xf>
    <xf numFmtId="9" fontId="3" fillId="2" borderId="1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F358A0-7AC0-404C-8A36-2A59FF3AC5FF}" name="Table1" displayName="Table1" ref="A6:F16" totalsRowShown="0" headerRowDxfId="0" dataDxfId="1" headerRowBorderDxfId="9" tableBorderDxfId="10" totalsRowBorderDxfId="8" headerRowCellStyle="Percent" dataCellStyle="Percent">
  <autoFilter ref="A6:F16" xr:uid="{46F358A0-7AC0-404C-8A36-2A59FF3AC5FF}"/>
  <tableColumns count="6">
    <tableColumn id="1" xr3:uid="{2306A3AE-85A7-4312-86B6-7BB841AA5A26}" name="Customer_ID" dataDxfId="7" dataCellStyle="Percent"/>
    <tableColumn id="2" xr3:uid="{5DFE898C-7ED1-4D21-844C-C232E47F73BB}" name="Customer_Name" dataDxfId="6" dataCellStyle="Percent"/>
    <tableColumn id="3" xr3:uid="{C22608B1-5E28-407D-B9E5-28B5F7372DFB}" name="Email_ID" dataDxfId="5" dataCellStyle="Percent"/>
    <tableColumn id="4" xr3:uid="{B1712622-BED6-448A-954B-539499DD5D2E}" name="Phone_Number" dataDxfId="4" dataCellStyle="Percent"/>
    <tableColumn id="5" xr3:uid="{6FD8F30B-5D66-4D22-BBF8-038C7F0F23EC}" name="Product_Code" dataDxfId="3" dataCellStyle="Percent"/>
    <tableColumn id="6" xr3:uid="{602A0E0C-A162-4AA8-BFDD-2D713793027F}" name="City" dataDxfId="2" dataCellStyle="Percent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"/>
  <sheetViews>
    <sheetView tabSelected="1" topLeftCell="D1" workbookViewId="0">
      <selection activeCell="G38" sqref="G38"/>
    </sheetView>
  </sheetViews>
  <sheetFormatPr defaultRowHeight="14.4" x14ac:dyDescent="0.3"/>
  <cols>
    <col min="1" max="1" width="13.77734375" customWidth="1"/>
    <col min="2" max="2" width="17" customWidth="1"/>
    <col min="3" max="3" width="23.109375" bestFit="1" customWidth="1"/>
    <col min="4" max="4" width="16.21875" customWidth="1"/>
    <col min="5" max="5" width="14.88671875" customWidth="1"/>
    <col min="6" max="6" width="10.6640625" bestFit="1" customWidth="1"/>
    <col min="7" max="7" width="10.6640625" customWidth="1"/>
    <col min="8" max="8" width="44.6640625" bestFit="1" customWidth="1"/>
    <col min="9" max="9" width="28.6640625" bestFit="1" customWidth="1"/>
    <col min="10" max="10" width="34" bestFit="1" customWidth="1"/>
    <col min="11" max="11" width="26.21875" bestFit="1" customWidth="1"/>
  </cols>
  <sheetData>
    <row r="1" spans="1:11" x14ac:dyDescent="0.3">
      <c r="D1" s="21" t="s">
        <v>91</v>
      </c>
      <c r="E1" s="21"/>
      <c r="F1" s="21"/>
      <c r="G1" s="21"/>
      <c r="H1" s="21"/>
    </row>
    <row r="2" spans="1:11" x14ac:dyDescent="0.3">
      <c r="D2" s="21"/>
      <c r="E2" s="21"/>
      <c r="F2" s="21"/>
      <c r="G2" s="21"/>
      <c r="H2" s="21"/>
    </row>
    <row r="3" spans="1:11" ht="23.4" x14ac:dyDescent="0.45">
      <c r="D3" s="22" t="s">
        <v>92</v>
      </c>
      <c r="E3" s="22"/>
      <c r="F3" s="22"/>
      <c r="G3" s="22"/>
      <c r="H3" s="22"/>
    </row>
    <row r="4" spans="1:11" ht="18" x14ac:dyDescent="0.35">
      <c r="H4" s="3"/>
      <c r="I4" s="3"/>
      <c r="J4" s="3"/>
      <c r="K4" s="3"/>
    </row>
    <row r="5" spans="1:11" ht="18" x14ac:dyDescent="0.35">
      <c r="H5" s="3" t="s">
        <v>71</v>
      </c>
      <c r="I5" s="3" t="s">
        <v>72</v>
      </c>
      <c r="J5" s="3" t="s">
        <v>73</v>
      </c>
      <c r="K5" s="3" t="s">
        <v>74</v>
      </c>
    </row>
    <row r="6" spans="1:11" x14ac:dyDescent="0.3">
      <c r="A6" s="10" t="s">
        <v>0</v>
      </c>
      <c r="B6" s="11" t="s">
        <v>1</v>
      </c>
      <c r="C6" s="11" t="s">
        <v>2</v>
      </c>
      <c r="D6" s="11" t="s">
        <v>3</v>
      </c>
      <c r="E6" s="11" t="s">
        <v>4</v>
      </c>
      <c r="F6" s="12" t="s">
        <v>5</v>
      </c>
      <c r="G6" s="6"/>
      <c r="H6" s="16" t="s">
        <v>68</v>
      </c>
      <c r="I6" s="16" t="s">
        <v>68</v>
      </c>
      <c r="J6" s="17" t="s">
        <v>69</v>
      </c>
      <c r="K6" s="17" t="s">
        <v>70</v>
      </c>
    </row>
    <row r="7" spans="1:11" x14ac:dyDescent="0.3">
      <c r="A7" s="9">
        <v>201</v>
      </c>
      <c r="B7" s="2" t="s">
        <v>6</v>
      </c>
      <c r="C7" s="2" t="s">
        <v>7</v>
      </c>
      <c r="D7" s="2" t="s">
        <v>8</v>
      </c>
      <c r="E7" s="2" t="s">
        <v>9</v>
      </c>
      <c r="F7" s="5" t="s">
        <v>10</v>
      </c>
      <c r="G7" s="7"/>
      <c r="H7" s="19">
        <f>LEN(B7)</f>
        <v>12</v>
      </c>
      <c r="I7" s="19">
        <f>LEN(C7)</f>
        <v>22</v>
      </c>
      <c r="J7" s="19" t="str">
        <f>LEFT(B7,5)</f>
        <v>Rahul</v>
      </c>
      <c r="K7" s="19" t="str">
        <f>RIGHT(D7,4)</f>
        <v>3210</v>
      </c>
    </row>
    <row r="8" spans="1:11" x14ac:dyDescent="0.3">
      <c r="A8" s="9">
        <v>202</v>
      </c>
      <c r="B8" s="2" t="s">
        <v>11</v>
      </c>
      <c r="C8" s="2" t="s">
        <v>12</v>
      </c>
      <c r="D8" s="2" t="s">
        <v>13</v>
      </c>
      <c r="E8" s="2" t="s">
        <v>14</v>
      </c>
      <c r="F8" s="5" t="s">
        <v>15</v>
      </c>
      <c r="G8" s="7"/>
      <c r="H8" s="19">
        <f t="shared" ref="H8:H16" si="0">LEN(B8)</f>
        <v>11</v>
      </c>
      <c r="I8" s="19">
        <f t="shared" ref="I8:I16" si="1">LEN(C8)</f>
        <v>21</v>
      </c>
      <c r="J8" s="19" t="str">
        <f t="shared" ref="J8:J16" si="2">LEFT(B8,5)</f>
        <v>Priya</v>
      </c>
      <c r="K8" s="19" t="str">
        <f t="shared" ref="K8:K16" si="3">RIGHT(D8,4)</f>
        <v>6789</v>
      </c>
    </row>
    <row r="9" spans="1:11" x14ac:dyDescent="0.3">
      <c r="A9" s="9">
        <v>203</v>
      </c>
      <c r="B9" s="2" t="s">
        <v>16</v>
      </c>
      <c r="C9" s="2" t="s">
        <v>17</v>
      </c>
      <c r="D9" s="2" t="s">
        <v>18</v>
      </c>
      <c r="E9" s="2" t="s">
        <v>19</v>
      </c>
      <c r="F9" s="5" t="s">
        <v>20</v>
      </c>
      <c r="G9" s="7"/>
      <c r="H9" s="19">
        <f t="shared" si="0"/>
        <v>10</v>
      </c>
      <c r="I9" s="19">
        <f t="shared" si="1"/>
        <v>22</v>
      </c>
      <c r="J9" s="19" t="str">
        <f t="shared" si="2"/>
        <v xml:space="preserve">Anil </v>
      </c>
      <c r="K9" s="19" t="str">
        <f t="shared" si="3"/>
        <v>6655</v>
      </c>
    </row>
    <row r="10" spans="1:11" x14ac:dyDescent="0.3">
      <c r="A10" s="9">
        <v>204</v>
      </c>
      <c r="B10" s="2" t="s">
        <v>21</v>
      </c>
      <c r="C10" s="2" t="s">
        <v>22</v>
      </c>
      <c r="D10" s="2" t="s">
        <v>23</v>
      </c>
      <c r="E10" s="2" t="s">
        <v>24</v>
      </c>
      <c r="F10" s="5" t="s">
        <v>25</v>
      </c>
      <c r="G10" s="7"/>
      <c r="H10" s="19">
        <f t="shared" si="0"/>
        <v>10</v>
      </c>
      <c r="I10" s="19">
        <f t="shared" si="1"/>
        <v>20</v>
      </c>
      <c r="J10" s="19" t="str">
        <f t="shared" si="2"/>
        <v>Sneha</v>
      </c>
      <c r="K10" s="19" t="str">
        <f t="shared" si="3"/>
        <v>5678</v>
      </c>
    </row>
    <row r="11" spans="1:11" x14ac:dyDescent="0.3">
      <c r="A11" s="9">
        <v>205</v>
      </c>
      <c r="B11" s="2" t="s">
        <v>26</v>
      </c>
      <c r="C11" s="2" t="s">
        <v>27</v>
      </c>
      <c r="D11" s="2" t="s">
        <v>28</v>
      </c>
      <c r="E11" s="2" t="s">
        <v>29</v>
      </c>
      <c r="F11" s="5" t="s">
        <v>30</v>
      </c>
      <c r="G11" s="7"/>
      <c r="H11" s="19">
        <f t="shared" si="0"/>
        <v>11</v>
      </c>
      <c r="I11" s="19">
        <f t="shared" si="1"/>
        <v>21</v>
      </c>
      <c r="J11" s="19" t="str">
        <f t="shared" si="2"/>
        <v>Rohit</v>
      </c>
      <c r="K11" s="19" t="str">
        <f t="shared" si="3"/>
        <v>6655</v>
      </c>
    </row>
    <row r="12" spans="1:11" x14ac:dyDescent="0.3">
      <c r="A12" s="9">
        <v>206</v>
      </c>
      <c r="B12" s="2" t="s">
        <v>31</v>
      </c>
      <c r="C12" s="2" t="s">
        <v>32</v>
      </c>
      <c r="D12" s="2" t="s">
        <v>33</v>
      </c>
      <c r="E12" s="2" t="s">
        <v>34</v>
      </c>
      <c r="F12" s="5" t="s">
        <v>35</v>
      </c>
      <c r="G12" s="7"/>
      <c r="H12" s="19">
        <f t="shared" si="0"/>
        <v>10</v>
      </c>
      <c r="I12" s="19">
        <f t="shared" si="1"/>
        <v>20</v>
      </c>
      <c r="J12" s="19" t="str">
        <f t="shared" si="2"/>
        <v xml:space="preserve">Neha </v>
      </c>
      <c r="K12" s="19" t="str">
        <f t="shared" si="3"/>
        <v>4433</v>
      </c>
    </row>
    <row r="13" spans="1:11" x14ac:dyDescent="0.3">
      <c r="A13" s="9">
        <v>207</v>
      </c>
      <c r="B13" s="2" t="s">
        <v>36</v>
      </c>
      <c r="C13" s="2" t="s">
        <v>37</v>
      </c>
      <c r="D13" s="2" t="s">
        <v>38</v>
      </c>
      <c r="E13" s="2" t="s">
        <v>39</v>
      </c>
      <c r="F13" s="5" t="s">
        <v>40</v>
      </c>
      <c r="G13" s="7"/>
      <c r="H13" s="19">
        <f t="shared" si="0"/>
        <v>10</v>
      </c>
      <c r="I13" s="19">
        <f t="shared" si="1"/>
        <v>22</v>
      </c>
      <c r="J13" s="19" t="str">
        <f t="shared" si="2"/>
        <v xml:space="preserve">Amit </v>
      </c>
      <c r="K13" s="19" t="str">
        <f t="shared" si="3"/>
        <v>3322</v>
      </c>
    </row>
    <row r="14" spans="1:11" x14ac:dyDescent="0.3">
      <c r="A14" s="9">
        <v>208</v>
      </c>
      <c r="B14" s="2" t="s">
        <v>41</v>
      </c>
      <c r="C14" s="2" t="s">
        <v>42</v>
      </c>
      <c r="D14" s="2" t="s">
        <v>43</v>
      </c>
      <c r="E14" s="2" t="s">
        <v>44</v>
      </c>
      <c r="F14" s="5" t="s">
        <v>45</v>
      </c>
      <c r="G14" s="7"/>
      <c r="H14" s="19">
        <f t="shared" si="0"/>
        <v>12</v>
      </c>
      <c r="I14" s="19">
        <f t="shared" si="1"/>
        <v>22</v>
      </c>
      <c r="J14" s="19" t="str">
        <f t="shared" si="2"/>
        <v>Kavit</v>
      </c>
      <c r="K14" s="19" t="str">
        <f t="shared" si="3"/>
        <v>2211</v>
      </c>
    </row>
    <row r="15" spans="1:11" x14ac:dyDescent="0.3">
      <c r="A15" s="9">
        <v>209</v>
      </c>
      <c r="B15" s="2" t="s">
        <v>46</v>
      </c>
      <c r="C15" s="2" t="s">
        <v>47</v>
      </c>
      <c r="D15" s="2" t="s">
        <v>48</v>
      </c>
      <c r="E15" s="2" t="s">
        <v>49</v>
      </c>
      <c r="F15" s="5" t="s">
        <v>50</v>
      </c>
      <c r="G15" s="7"/>
      <c r="H15" s="19">
        <f t="shared" si="0"/>
        <v>11</v>
      </c>
      <c r="I15" s="19">
        <f t="shared" si="1"/>
        <v>21</v>
      </c>
      <c r="J15" s="19" t="str">
        <f t="shared" si="2"/>
        <v>Sures</v>
      </c>
      <c r="K15" s="19" t="str">
        <f t="shared" si="3"/>
        <v>1100</v>
      </c>
    </row>
    <row r="16" spans="1:11" x14ac:dyDescent="0.3">
      <c r="A16" s="13">
        <v>210</v>
      </c>
      <c r="B16" s="14" t="s">
        <v>51</v>
      </c>
      <c r="C16" s="14" t="s">
        <v>52</v>
      </c>
      <c r="D16" s="14" t="s">
        <v>53</v>
      </c>
      <c r="E16" s="14" t="s">
        <v>54</v>
      </c>
      <c r="F16" s="15" t="s">
        <v>55</v>
      </c>
      <c r="G16" s="7"/>
      <c r="H16" s="19">
        <f t="shared" si="0"/>
        <v>14</v>
      </c>
      <c r="I16" s="19">
        <f t="shared" si="1"/>
        <v>24</v>
      </c>
      <c r="J16" s="19" t="str">
        <f t="shared" si="2"/>
        <v>Pooja</v>
      </c>
      <c r="K16" s="19" t="str">
        <f t="shared" si="3"/>
        <v>0099</v>
      </c>
    </row>
    <row r="18" spans="8:11" ht="18" x14ac:dyDescent="0.3">
      <c r="H18" s="4" t="s">
        <v>76</v>
      </c>
      <c r="I18" s="4" t="s">
        <v>78</v>
      </c>
      <c r="J18" s="4" t="s">
        <v>80</v>
      </c>
      <c r="K18" s="4" t="s">
        <v>82</v>
      </c>
    </row>
    <row r="19" spans="8:11" x14ac:dyDescent="0.3">
      <c r="H19" s="17" t="s">
        <v>75</v>
      </c>
      <c r="I19" s="17" t="s">
        <v>77</v>
      </c>
      <c r="J19" s="17" t="s">
        <v>79</v>
      </c>
      <c r="K19" s="17" t="s">
        <v>81</v>
      </c>
    </row>
    <row r="20" spans="8:11" x14ac:dyDescent="0.3">
      <c r="H20" s="19" t="str">
        <f>LEFT(E7,3)</f>
        <v>PRD</v>
      </c>
      <c r="I20" s="19" t="str">
        <f>MID(E7,5,2)</f>
        <v>AX</v>
      </c>
      <c r="J20" s="19" t="str">
        <f>RIGHT(E7,4)</f>
        <v>1001</v>
      </c>
      <c r="K20" s="19" t="str">
        <f>LEFT(C7,FIND("@",C7)-1)</f>
        <v>rahul.sharma</v>
      </c>
    </row>
    <row r="21" spans="8:11" x14ac:dyDescent="0.3">
      <c r="H21" s="19" t="str">
        <f t="shared" ref="H21:H29" si="4">LEFT(E8,3)</f>
        <v>PRD</v>
      </c>
      <c r="I21" s="19" t="str">
        <f t="shared" ref="I21:I29" si="5">MID(E8,5,2)</f>
        <v>BX</v>
      </c>
      <c r="J21" s="19" t="str">
        <f t="shared" ref="J21:J29" si="6">RIGHT(E8,4)</f>
        <v>1002</v>
      </c>
      <c r="K21" s="19" t="str">
        <f t="shared" ref="K21:K29" si="7">LEFT(C8,FIND("@",C8)-1)</f>
        <v>priya.patel</v>
      </c>
    </row>
    <row r="22" spans="8:11" x14ac:dyDescent="0.3">
      <c r="H22" s="19" t="str">
        <f t="shared" si="4"/>
        <v>PRD</v>
      </c>
      <c r="I22" s="19" t="str">
        <f t="shared" si="5"/>
        <v>CX</v>
      </c>
      <c r="J22" s="19" t="str">
        <f t="shared" si="6"/>
        <v>1003</v>
      </c>
      <c r="K22" s="19" t="str">
        <f t="shared" si="7"/>
        <v>anil.kumar</v>
      </c>
    </row>
    <row r="23" spans="8:11" x14ac:dyDescent="0.3">
      <c r="H23" s="19" t="str">
        <f t="shared" si="4"/>
        <v>PRD</v>
      </c>
      <c r="I23" s="19" t="str">
        <f t="shared" si="5"/>
        <v>DX</v>
      </c>
      <c r="J23" s="19" t="str">
        <f t="shared" si="6"/>
        <v>1004</v>
      </c>
      <c r="K23" s="19" t="str">
        <f t="shared" si="7"/>
        <v>sneha.iyer</v>
      </c>
    </row>
    <row r="24" spans="8:11" x14ac:dyDescent="0.3">
      <c r="H24" s="19" t="str">
        <f t="shared" si="4"/>
        <v>PRD</v>
      </c>
      <c r="I24" s="19" t="str">
        <f t="shared" si="5"/>
        <v>EX</v>
      </c>
      <c r="J24" s="19" t="str">
        <f t="shared" si="6"/>
        <v>1005</v>
      </c>
      <c r="K24" s="19" t="str">
        <f t="shared" si="7"/>
        <v>rohit.mehta</v>
      </c>
    </row>
    <row r="25" spans="8:11" x14ac:dyDescent="0.3">
      <c r="H25" s="19" t="str">
        <f t="shared" si="4"/>
        <v>PRD</v>
      </c>
      <c r="I25" s="19" t="str">
        <f t="shared" si="5"/>
        <v>FX</v>
      </c>
      <c r="J25" s="19" t="str">
        <f t="shared" si="6"/>
        <v>1006</v>
      </c>
      <c r="K25" s="19" t="str">
        <f t="shared" si="7"/>
        <v>neha.singh</v>
      </c>
    </row>
    <row r="26" spans="8:11" x14ac:dyDescent="0.3">
      <c r="H26" s="19" t="str">
        <f t="shared" si="4"/>
        <v>PRD</v>
      </c>
      <c r="I26" s="19" t="str">
        <f t="shared" si="5"/>
        <v>GX</v>
      </c>
      <c r="J26" s="19" t="str">
        <f t="shared" si="6"/>
        <v>1007</v>
      </c>
      <c r="K26" s="19" t="str">
        <f t="shared" si="7"/>
        <v>amit.verma</v>
      </c>
    </row>
    <row r="27" spans="8:11" x14ac:dyDescent="0.3">
      <c r="H27" s="19" t="str">
        <f t="shared" si="4"/>
        <v>PRD</v>
      </c>
      <c r="I27" s="19" t="str">
        <f t="shared" si="5"/>
        <v>HX</v>
      </c>
      <c r="J27" s="19" t="str">
        <f t="shared" si="6"/>
        <v>1008</v>
      </c>
      <c r="K27" s="19" t="str">
        <f t="shared" si="7"/>
        <v>kavita.joshi</v>
      </c>
    </row>
    <row r="28" spans="8:11" x14ac:dyDescent="0.3">
      <c r="H28" s="19" t="str">
        <f t="shared" si="4"/>
        <v>PRD</v>
      </c>
      <c r="I28" s="19" t="str">
        <f t="shared" si="5"/>
        <v>IX</v>
      </c>
      <c r="J28" s="19" t="str">
        <f t="shared" si="6"/>
        <v>1009</v>
      </c>
      <c r="K28" s="19" t="str">
        <f t="shared" si="7"/>
        <v>suresh.nair</v>
      </c>
    </row>
    <row r="29" spans="8:11" x14ac:dyDescent="0.3">
      <c r="H29" s="19" t="str">
        <f t="shared" si="4"/>
        <v>PRD</v>
      </c>
      <c r="I29" s="19" t="str">
        <f t="shared" si="5"/>
        <v>JX</v>
      </c>
      <c r="J29" s="19" t="str">
        <f t="shared" si="6"/>
        <v>1010</v>
      </c>
      <c r="K29" s="19" t="str">
        <f t="shared" si="7"/>
        <v>pooja.kulkarni</v>
      </c>
    </row>
    <row r="31" spans="8:11" ht="18" x14ac:dyDescent="0.3">
      <c r="H31" s="8" t="s">
        <v>83</v>
      </c>
      <c r="I31" s="8" t="s">
        <v>86</v>
      </c>
      <c r="J31" s="8" t="s">
        <v>87</v>
      </c>
      <c r="K31" s="8" t="s">
        <v>90</v>
      </c>
    </row>
    <row r="32" spans="8:11" x14ac:dyDescent="0.3">
      <c r="H32" s="17" t="s">
        <v>84</v>
      </c>
      <c r="I32" s="17" t="s">
        <v>85</v>
      </c>
      <c r="J32" s="18" t="s">
        <v>88</v>
      </c>
      <c r="K32" s="18" t="s">
        <v>89</v>
      </c>
    </row>
    <row r="33" spans="8:11" x14ac:dyDescent="0.3">
      <c r="H33" s="19" t="str">
        <f>MID(C7,FIND("@",C7)+1,FIND(".",C7)+3)</f>
        <v>gmail.com</v>
      </c>
      <c r="I33" s="19">
        <f>LEN(E7)</f>
        <v>11</v>
      </c>
      <c r="J33" s="20" t="str">
        <f>LEFT(F7,1)</f>
        <v>M</v>
      </c>
      <c r="K33" s="20" t="str">
        <f>RIGHT(F7,2)</f>
        <v>ai</v>
      </c>
    </row>
    <row r="34" spans="8:11" x14ac:dyDescent="0.3">
      <c r="H34" s="19" t="str">
        <f t="shared" ref="H34:H41" si="8">MID(C8,FIND("@",C8)+1,FIND(".",C8)+3)</f>
        <v>yahoo.com</v>
      </c>
      <c r="I34" s="19">
        <f t="shared" ref="I34:I42" si="9">LEN(E8)</f>
        <v>11</v>
      </c>
      <c r="J34" s="20" t="str">
        <f t="shared" ref="J34:J42" si="10">LEFT(F8,1)</f>
        <v>A</v>
      </c>
      <c r="K34" s="20" t="str">
        <f t="shared" ref="K34:K42" si="11">RIGHT(F8,2)</f>
        <v>ad</v>
      </c>
    </row>
    <row r="35" spans="8:11" x14ac:dyDescent="0.3">
      <c r="H35" s="19" t="str">
        <f t="shared" si="8"/>
        <v>outlook.</v>
      </c>
      <c r="I35" s="19">
        <f t="shared" si="9"/>
        <v>11</v>
      </c>
      <c r="J35" s="20" t="str">
        <f t="shared" si="10"/>
        <v>D</v>
      </c>
      <c r="K35" s="20" t="str">
        <f t="shared" si="11"/>
        <v>hi</v>
      </c>
    </row>
    <row r="36" spans="8:11" x14ac:dyDescent="0.3">
      <c r="H36" s="19" t="str">
        <f t="shared" si="8"/>
        <v>gmail.com</v>
      </c>
      <c r="I36" s="19">
        <f t="shared" si="9"/>
        <v>11</v>
      </c>
      <c r="J36" s="20" t="str">
        <f t="shared" si="10"/>
        <v>C</v>
      </c>
      <c r="K36" s="20" t="str">
        <f t="shared" si="11"/>
        <v>ai</v>
      </c>
    </row>
    <row r="37" spans="8:11" x14ac:dyDescent="0.3">
      <c r="H37" s="19" t="str">
        <f t="shared" si="8"/>
        <v>yahoo.com</v>
      </c>
      <c r="I37" s="19">
        <f t="shared" si="9"/>
        <v>11</v>
      </c>
      <c r="J37" s="20" t="str">
        <f t="shared" si="10"/>
        <v>P</v>
      </c>
      <c r="K37" s="20" t="str">
        <f t="shared" si="11"/>
        <v>ne</v>
      </c>
    </row>
    <row r="38" spans="8:11" x14ac:dyDescent="0.3">
      <c r="H38" s="19" t="str">
        <f t="shared" si="8"/>
        <v>gmail.co</v>
      </c>
      <c r="I38" s="19">
        <f t="shared" si="9"/>
        <v>11</v>
      </c>
      <c r="J38" s="20" t="str">
        <f t="shared" si="10"/>
        <v>J</v>
      </c>
      <c r="K38" s="20" t="str">
        <f t="shared" si="11"/>
        <v>ur</v>
      </c>
    </row>
    <row r="39" spans="8:11" x14ac:dyDescent="0.3">
      <c r="H39" s="19" t="str">
        <f t="shared" si="8"/>
        <v>outlook.</v>
      </c>
      <c r="I39" s="19">
        <f t="shared" si="9"/>
        <v>11</v>
      </c>
      <c r="J39" s="20" t="str">
        <f t="shared" si="10"/>
        <v>B</v>
      </c>
      <c r="K39" s="20" t="str">
        <f t="shared" si="11"/>
        <v>al</v>
      </c>
    </row>
    <row r="40" spans="8:11" x14ac:dyDescent="0.3">
      <c r="H40" s="19" t="str">
        <f t="shared" si="8"/>
        <v>gmail.com</v>
      </c>
      <c r="I40" s="19">
        <f t="shared" si="9"/>
        <v>11</v>
      </c>
      <c r="J40" s="20" t="str">
        <f t="shared" si="10"/>
        <v>I</v>
      </c>
      <c r="K40" s="20" t="str">
        <f t="shared" si="11"/>
        <v>re</v>
      </c>
    </row>
    <row r="41" spans="8:11" x14ac:dyDescent="0.3">
      <c r="H41" s="19" t="str">
        <f t="shared" si="8"/>
        <v>yahoo.com</v>
      </c>
      <c r="I41" s="19">
        <f t="shared" si="9"/>
        <v>11</v>
      </c>
      <c r="J41" s="20" t="str">
        <f t="shared" si="10"/>
        <v>K</v>
      </c>
      <c r="K41" s="20" t="str">
        <f t="shared" si="11"/>
        <v>hi</v>
      </c>
    </row>
    <row r="42" spans="8:11" x14ac:dyDescent="0.3">
      <c r="H42" s="19" t="str">
        <f>MID(C16,FIND("@",C16)+1,FIND(".",C16)+3)</f>
        <v>gmail.com</v>
      </c>
      <c r="I42" s="19">
        <f t="shared" si="9"/>
        <v>11</v>
      </c>
      <c r="J42" s="20" t="str">
        <f t="shared" si="10"/>
        <v>N</v>
      </c>
      <c r="K42" s="20" t="str">
        <f t="shared" si="11"/>
        <v>ik</v>
      </c>
    </row>
  </sheetData>
  <mergeCells count="2">
    <mergeCell ref="D1:H2"/>
    <mergeCell ref="D3:H3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2"/>
  <sheetViews>
    <sheetView workbookViewId="0">
      <selection activeCell="A12" sqref="A12"/>
    </sheetView>
  </sheetViews>
  <sheetFormatPr defaultRowHeight="14.4" x14ac:dyDescent="0.3"/>
  <cols>
    <col min="1" max="1" width="75.33203125" bestFit="1" customWidth="1"/>
  </cols>
  <sheetData>
    <row r="1" spans="1:1" ht="15.6" x14ac:dyDescent="0.3">
      <c r="A1" s="1" t="s">
        <v>56</v>
      </c>
    </row>
    <row r="2" spans="1:1" ht="15.6" x14ac:dyDescent="0.3">
      <c r="A2" s="1" t="s">
        <v>57</v>
      </c>
    </row>
    <row r="3" spans="1:1" ht="15.6" x14ac:dyDescent="0.3">
      <c r="A3" s="1" t="s">
        <v>58</v>
      </c>
    </row>
    <row r="4" spans="1:1" ht="15.6" x14ac:dyDescent="0.3">
      <c r="A4" s="1" t="s">
        <v>59</v>
      </c>
    </row>
    <row r="5" spans="1:1" ht="15.6" x14ac:dyDescent="0.3">
      <c r="A5" s="1" t="s">
        <v>60</v>
      </c>
    </row>
    <row r="6" spans="1:1" ht="15.6" x14ac:dyDescent="0.3">
      <c r="A6" s="1" t="s">
        <v>61</v>
      </c>
    </row>
    <row r="7" spans="1:1" ht="15.6" x14ac:dyDescent="0.3">
      <c r="A7" s="1" t="s">
        <v>62</v>
      </c>
    </row>
    <row r="8" spans="1:1" ht="15.6" x14ac:dyDescent="0.3">
      <c r="A8" s="1" t="s">
        <v>63</v>
      </c>
    </row>
    <row r="9" spans="1:1" ht="15.6" x14ac:dyDescent="0.3">
      <c r="A9" s="1" t="s">
        <v>64</v>
      </c>
    </row>
    <row r="10" spans="1:1" ht="15.6" x14ac:dyDescent="0.3">
      <c r="A10" s="1" t="s">
        <v>65</v>
      </c>
    </row>
    <row r="11" spans="1:1" ht="15.6" x14ac:dyDescent="0.3">
      <c r="A11" s="1" t="s">
        <v>66</v>
      </c>
    </row>
    <row r="12" spans="1:1" ht="15.6" x14ac:dyDescent="0.3">
      <c r="A12" s="1" t="s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Customer_Data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Vivek Patil</cp:lastModifiedBy>
  <dcterms:created xsi:type="dcterms:W3CDTF">2025-12-29T06:46:26Z</dcterms:created>
  <dcterms:modified xsi:type="dcterms:W3CDTF">2026-01-07T05:26:27Z</dcterms:modified>
</cp:coreProperties>
</file>